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stas" sheetId="1" state="visible" r:id="rId3"/>
    <sheet name="Diário de Aulas" sheetId="2" state="visible" r:id="rId4"/>
    <sheet name="Alunos" sheetId="3" state="visible" r:id="rId5"/>
    <sheet name="Financeiro" sheetId="4" state="visible" r:id="rId6"/>
    <sheet name="Progresso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<sst xmlns="http://schemas.openxmlformats.org/spreadsheetml/2006/main" count="672" uniqueCount="298">
  <si>
    <t xml:space="preserve">⚙️  CONFIGURAÇÕES E LISTAS DE OPÇÕES</t>
  </si>
  <si>
    <t xml:space="preserve">Edite as listas abaixo para personalizar todos os dropdowns do sistema. Não altere os cabeçalhos em negrito.</t>
  </si>
  <si>
    <t xml:space="preserve">INSTRUMENTOS</t>
  </si>
  <si>
    <t xml:space="preserve">ESTÁGIOS</t>
  </si>
  <si>
    <t xml:space="preserve">TIPO DE AULA</t>
  </si>
  <si>
    <t xml:space="preserve">PRESENÇA</t>
  </si>
  <si>
    <t xml:space="preserve">TÉCNICA</t>
  </si>
  <si>
    <t xml:space="preserve">PRONTIDÃO CULTO</t>
  </si>
  <si>
    <t xml:space="preserve">MÉTODOS / APOSTILAS</t>
  </si>
  <si>
    <t xml:space="preserve">HINOS — BÁSICO</t>
  </si>
  <si>
    <t xml:space="preserve">HINOS — INTERM.</t>
  </si>
  <si>
    <t xml:space="preserve">HINOS — CULTO</t>
  </si>
  <si>
    <t xml:space="preserve">PAGAMENTO</t>
  </si>
  <si>
    <t xml:space="preserve">STATUS ALUNO</t>
  </si>
  <si>
    <t xml:space="preserve">FAIXA ETÁRIA</t>
  </si>
  <si>
    <t xml:space="preserve">FÓRMULA / NÃO EDITAR</t>
  </si>
  <si>
    <t xml:space="preserve">Piano</t>
  </si>
  <si>
    <t xml:space="preserve">Iniciante</t>
  </si>
  <si>
    <t xml:space="preserve">Teórica</t>
  </si>
  <si>
    <t xml:space="preserve">Presente</t>
  </si>
  <si>
    <t xml:space="preserve">Não iniciado</t>
  </si>
  <si>
    <t xml:space="preserve">Não avaliado</t>
  </si>
  <si>
    <t xml:space="preserve">Faber Vol.1</t>
  </si>
  <si>
    <t xml:space="preserve">Ó Senhor (minha rocha)</t>
  </si>
  <si>
    <t xml:space="preserve">Shout to the Lord</t>
  </si>
  <si>
    <t xml:space="preserve">Quão Grande és Tu</t>
  </si>
  <si>
    <t xml:space="preserve">Pix</t>
  </si>
  <si>
    <t xml:space="preserve">Ativo</t>
  </si>
  <si>
    <t xml:space="preserve">Musicalização (0-7)</t>
  </si>
  <si>
    <t xml:space="preserve">Órgão</t>
  </si>
  <si>
    <t xml:space="preserve">Básico</t>
  </si>
  <si>
    <t xml:space="preserve">Prática</t>
  </si>
  <si>
    <t xml:space="preserve">Falta — Aluno (justificada)</t>
  </si>
  <si>
    <t xml:space="preserve">Em andamento</t>
  </si>
  <si>
    <t xml:space="preserve">Em preparação</t>
  </si>
  <si>
    <t xml:space="preserve">Faber Vol.2</t>
  </si>
  <si>
    <t xml:space="preserve">Grande é o Senhor</t>
  </si>
  <si>
    <t xml:space="preserve">Oceans</t>
  </si>
  <si>
    <t xml:space="preserve">Aleluia (Leonard Cohen)</t>
  </si>
  <si>
    <t xml:space="preserve">Dinheiro</t>
  </si>
  <si>
    <t xml:space="preserve">Pausado</t>
  </si>
  <si>
    <t xml:space="preserve">Infantil (8-12)</t>
  </si>
  <si>
    <t xml:space="preserve">Flauta</t>
  </si>
  <si>
    <t xml:space="preserve">Intermediário</t>
  </si>
  <si>
    <t xml:space="preserve">Mista</t>
  </si>
  <si>
    <t xml:space="preserve">Falta — Aluno (sem aviso)</t>
  </si>
  <si>
    <t xml:space="preserve">Concluído</t>
  </si>
  <si>
    <t xml:space="preserve">Apto</t>
  </si>
  <si>
    <t xml:space="preserve">Faber Vol.3</t>
  </si>
  <si>
    <t xml:space="preserve">Castelo Forte</t>
  </si>
  <si>
    <t xml:space="preserve">Good Good Father</t>
  </si>
  <si>
    <t xml:space="preserve">How Great is Our God</t>
  </si>
  <si>
    <t xml:space="preserve">Transferência</t>
  </si>
  <si>
    <t xml:space="preserve">Encerrado</t>
  </si>
  <si>
    <t xml:space="preserve">Adolescente (13-17)</t>
  </si>
  <si>
    <t xml:space="preserve">Piano e Órgão</t>
  </si>
  <si>
    <t xml:space="preserve">Apto — Culto Jovens</t>
  </si>
  <si>
    <t xml:space="preserve">Musicalização</t>
  </si>
  <si>
    <t xml:space="preserve">Falta — Professora</t>
  </si>
  <si>
    <t xml:space="preserve">Não apto no momento</t>
  </si>
  <si>
    <t xml:space="preserve">Berens — 100 Estudos</t>
  </si>
  <si>
    <t xml:space="preserve">Qual fundamento</t>
  </si>
  <si>
    <t xml:space="preserve">Way Maker</t>
  </si>
  <si>
    <t xml:space="preserve">Ainda Que a Figueira</t>
  </si>
  <si>
    <t xml:space="preserve">Outro</t>
  </si>
  <si>
    <t xml:space="preserve">Adulto (18+)</t>
  </si>
  <si>
    <t xml:space="preserve">Piano e Flauta</t>
  </si>
  <si>
    <t xml:space="preserve">Apto — Culto Adulto</t>
  </si>
  <si>
    <t xml:space="preserve">Avaliação</t>
  </si>
  <si>
    <t xml:space="preserve">Feriado / Evento</t>
  </si>
  <si>
    <t xml:space="preserve">Hanon</t>
  </si>
  <si>
    <t xml:space="preserve">10.000 Reasons</t>
  </si>
  <si>
    <t xml:space="preserve">Este é o Dia</t>
  </si>
  <si>
    <t xml:space="preserve">Oficializado</t>
  </si>
  <si>
    <t xml:space="preserve">Czerny Op.599</t>
  </si>
  <si>
    <t xml:space="preserve">Apostila própria — Teoria</t>
  </si>
  <si>
    <t xml:space="preserve">Apostila própria — Prática</t>
  </si>
  <si>
    <t xml:space="preserve">Hinário CCB</t>
  </si>
  <si>
    <t xml:space="preserve">Hinário Batista</t>
  </si>
  <si>
    <t xml:space="preserve">Partituras avulsas</t>
  </si>
  <si>
    <t xml:space="preserve">📖  DIÁRIO DE AULAS</t>
  </si>
  <si>
    <t xml:space="preserve">Data</t>
  </si>
  <si>
    <t xml:space="preserve">Aluno</t>
  </si>
  <si>
    <t xml:space="preserve">Presença</t>
  </si>
  <si>
    <t xml:space="preserve">Motivo Ausência</t>
  </si>
  <si>
    <t xml:space="preserve">Tipo de Aula</t>
  </si>
  <si>
    <t xml:space="preserve">Método(s) Trabalhado(s)</t>
  </si>
  <si>
    <t xml:space="preserve">Conteúdo / Repertório</t>
  </si>
  <si>
    <t xml:space="preserve">Hino(s) Trabalhado(s)</t>
  </si>
  <si>
    <t xml:space="preserve">Lição de Casa</t>
  </si>
  <si>
    <t xml:space="preserve">Links de Vídeo Enviados</t>
  </si>
  <si>
    <t xml:space="preserve">Avaliação / Observações</t>
  </si>
  <si>
    <t xml:space="preserve">Atualizar Progresso?</t>
  </si>
  <si>
    <t xml:space="preserve">Ana Beatriz Ferreira</t>
  </si>
  <si>
    <t xml:space="preserve">Introdução às notas musicais, pauta e claves. Postura ao piano.</t>
  </si>
  <si>
    <t xml:space="preserve">Copiar as notas do caderno (pág 3)</t>
  </si>
  <si>
    <t xml:space="preserve">Ótima primeira aula, muito atenta.</t>
  </si>
  <si>
    <t xml:space="preserve">Não</t>
  </si>
  <si>
    <t xml:space="preserve">Exercícios de posição de mão. Mão direita — Dó maior básico.</t>
  </si>
  <si>
    <t xml:space="preserve">Praticar Faber p.4 — 5 min por dia</t>
  </si>
  <si>
    <t xml:space="preserve">Mão direita boa. Iniciar mão esquerda na próxima aula.</t>
  </si>
  <si>
    <t xml:space="preserve">Viagem família</t>
  </si>
  <si>
    <t xml:space="preserve">Reagendada para 25/11.</t>
  </si>
  <si>
    <t xml:space="preserve">Revisão mão direita + introdução mão esquerda. Coordenação básica.</t>
  </si>
  <si>
    <t xml:space="preserve">Grande é o Senhor (introdução)</t>
  </si>
  <si>
    <t xml:space="preserve">Praticar as duas mãos separadas — Faber p.6</t>
  </si>
  <si>
    <t xml:space="preserve">https://youtu.be/exemplo1</t>
  </si>
  <si>
    <t xml:space="preserve">Progresso rápido. Coordenação melhorando.</t>
  </si>
  <si>
    <t xml:space="preserve">Sim</t>
  </si>
  <si>
    <t xml:space="preserve">Duas mãos juntas pela primeira vez — compassos 1-4.</t>
  </si>
  <si>
    <t xml:space="preserve">Grande é o Senhor (mão direita completa)</t>
  </si>
  <si>
    <t xml:space="preserve">Tocar compassos 1-4 com metrônomo 60 bpm</t>
  </si>
  <si>
    <t xml:space="preserve">Dificuldade inicial, mas finalizou os 4 compassos.</t>
  </si>
  <si>
    <t xml:space="preserve">Lucas Mendes Oliveira</t>
  </si>
  <si>
    <t xml:space="preserve">Revisão geral: figuras, compassos, leitura de clave de sol e fá.</t>
  </si>
  <si>
    <t xml:space="preserve">Exercícios de teoria — pág 8 a 10</t>
  </si>
  <si>
    <t xml:space="preserve">Base teórica sólida. Avançar para repertório gospel.</t>
  </si>
  <si>
    <t xml:space="preserve">Faber Vol.2 p.12 — exercícios de oitavas e arpejo.</t>
  </si>
  <si>
    <t xml:space="preserve">Shout to the Lord (introdução)</t>
  </si>
  <si>
    <t xml:space="preserve">Faber p.12-14 + primeiros acordes do hino</t>
  </si>
  <si>
    <t xml:space="preserve">https://youtu.be/exemplo2</t>
  </si>
  <si>
    <t xml:space="preserve">Evolução excelente. Arpejo fluindo bem.</t>
  </si>
  <si>
    <t xml:space="preserve">Duas mãos em peça gospel. Introdução à pedaleira — posição dos pés.</t>
  </si>
  <si>
    <t xml:space="preserve">Way Maker (completo mão direita)</t>
  </si>
  <si>
    <t xml:space="preserve">Praticar pedaleira sozinha — notas básicas</t>
  </si>
  <si>
    <t xml:space="preserve">https://youtu.be/exemplo3</t>
  </si>
  <si>
    <t xml:space="preserve">Primeira vez com pedaleira. Concentração boa.</t>
  </si>
  <si>
    <t xml:space="preserve">Compromisso da professora</t>
  </si>
  <si>
    <t xml:space="preserve">Aula cancelada pela professora. Reagendada.</t>
  </si>
  <si>
    <t xml:space="preserve">Faber Vol.2 + Hinário CCB</t>
  </si>
  <si>
    <t xml:space="preserve">Repertório para culto jovens. Revisão técnica e postura.</t>
  </si>
  <si>
    <t xml:space="preserve">Way Maker + Good Good Father</t>
  </si>
  <si>
    <t xml:space="preserve">Gravar vídeo tocando Way Maker</t>
  </si>
  <si>
    <t xml:space="preserve">Aprovado para culto jovens. Agendar avaliação.</t>
  </si>
  <si>
    <t xml:space="preserve">Fernanda Costa</t>
  </si>
  <si>
    <t xml:space="preserve">Retomada: leitura de partituras, fórmulas de compasso.</t>
  </si>
  <si>
    <t xml:space="preserve">Exercícios de leitura — pág 1 a 5</t>
  </si>
  <si>
    <t xml:space="preserve">Segunda experiência. Lembrou bastante coisa.</t>
  </si>
  <si>
    <t xml:space="preserve">Czerny Op.599 n.1 e n.2. Foco em independência de dedos.</t>
  </si>
  <si>
    <t xml:space="preserve">Quão Grande és Tu (introdução)</t>
  </si>
  <si>
    <t xml:space="preserve">Czerny n.1 e 2 — 10 min/dia</t>
  </si>
  <si>
    <t xml:space="preserve">https://youtu.be/exemplo4</t>
  </si>
  <si>
    <t xml:space="preserve">Técnica precisa de trabalho. Perseverança ótima.</t>
  </si>
  <si>
    <t xml:space="preserve">Czerny Op.599 + Apostila própria — Prática</t>
  </si>
  <si>
    <t xml:space="preserve">Duas mãos em Czerny n.5. Iniciando hinos com cifra.</t>
  </si>
  <si>
    <t xml:space="preserve">10.000 Reasons (acordes básicos)</t>
  </si>
  <si>
    <t xml:space="preserve">Czerny n.5 + cifra do hino mão direita</t>
  </si>
  <si>
    <t xml:space="preserve">https://youtu.be/exemplo5</t>
  </si>
  <si>
    <t xml:space="preserve">Progresso consistente. Harmonia melhorando.</t>
  </si>
  <si>
    <t xml:space="preserve">Peças completas com duas mãos. Iniciando ornamentação.</t>
  </si>
  <si>
    <t xml:space="preserve">Quão Grande és Tu (completo)</t>
  </si>
  <si>
    <t xml:space="preserve">Tocar Czerny n.8 fluente</t>
  </si>
  <si>
    <t xml:space="preserve">Pronta para avaliação de culto em breve.</t>
  </si>
  <si>
    <t xml:space="preserve">Não compareceu. Sem justificativa até o momento.</t>
  </si>
  <si>
    <t xml:space="preserve">Isabela Rocha Santos</t>
  </si>
  <si>
    <t xml:space="preserve">Reconhecimento de sons (agudo/grave). Imitação rítmica com palmas.</t>
  </si>
  <si>
    <t xml:space="preserve">Ouvir e identificar sons em casa</t>
  </si>
  <si>
    <t xml:space="preserve">Primeira aula. Criança muito participativa!</t>
  </si>
  <si>
    <t xml:space="preserve">Introdução à flauta — postura e sopro básico. Notas Si e Lá.</t>
  </si>
  <si>
    <t xml:space="preserve">Soprar a flauta 5 min por dia</t>
  </si>
  <si>
    <t xml:space="preserve">https://youtu.be/exemplo6</t>
  </si>
  <si>
    <t xml:space="preserve">Encantada com o instrumento. Sopro já firme.</t>
  </si>
  <si>
    <t xml:space="preserve">Notas Sol, Fá, Mi na flauta. Primeira melodia simples.</t>
  </si>
  <si>
    <t xml:space="preserve">Praticar escala de Dó na flauta</t>
  </si>
  <si>
    <t xml:space="preserve">Progresso rápido para a idade. Muito musical.</t>
  </si>
  <si>
    <t xml:space="preserve">Doença</t>
  </si>
  <si>
    <t xml:space="preserve">Responsável avisou com antecedência. Reagendada.</t>
  </si>
  <si>
    <t xml:space="preserve">Rafael Almeida</t>
  </si>
  <si>
    <t xml:space="preserve">Hanon + Hinário Batista</t>
  </si>
  <si>
    <t xml:space="preserve">Exercícios de velocidade Hanon n.1-5. Revisão de repertório gospel.</t>
  </si>
  <si>
    <t xml:space="preserve">Ainda Que a Figueira (completo)</t>
  </si>
  <si>
    <t xml:space="preserve">Hanon n.6 e 7 — 120 bpm</t>
  </si>
  <si>
    <t xml:space="preserve">Técnica avançada. Velocidade precisa de trabalho.</t>
  </si>
  <si>
    <t xml:space="preserve">Hanon + Berens — 100 Estudos</t>
  </si>
  <si>
    <t xml:space="preserve">Berens 20-25. Passagem para órgão — pedaleira com harmonia.</t>
  </si>
  <si>
    <t xml:space="preserve">How Great is Our God (órgão + pedal)</t>
  </si>
  <si>
    <t xml:space="preserve">Berens 26 + pedaleira com baixo pedal</t>
  </si>
  <si>
    <t xml:space="preserve">https://youtu.be/exemplo7</t>
  </si>
  <si>
    <t xml:space="preserve">Pedaleira evoluindo muito. Som cheio no órgão.</t>
  </si>
  <si>
    <t xml:space="preserve">Avaliação formal: 3 hinos completos, leitura à primeira vista.</t>
  </si>
  <si>
    <t xml:space="preserve">Quão Grande és Tu + How Great is Our God + Este é o Dia</t>
  </si>
  <si>
    <t xml:space="preserve">Preparar set de 4 hinos para culto adulto</t>
  </si>
  <si>
    <t xml:space="preserve">APROVADO para culto adulto. Excelente avaliação!</t>
  </si>
  <si>
    <t xml:space="preserve">Refinamento técnico. Preparação para oficialização.</t>
  </si>
  <si>
    <t xml:space="preserve">Aleluia (Leonard Cohen arr. gospel) + Oceans</t>
  </si>
  <si>
    <t xml:space="preserve">Repertório completo de oficialização — 5 hinos</t>
  </si>
  <si>
    <t xml:space="preserve">https://youtu.be/exemplo8</t>
  </si>
  <si>
    <t xml:space="preserve">Candidato forte para oficialização. Data a definir.</t>
  </si>
  <si>
    <t xml:space="preserve">🎵  CADASTRO DE ALUNOS</t>
  </si>
  <si>
    <t xml:space="preserve">ID</t>
  </si>
  <si>
    <t xml:space="preserve">Nome Completo</t>
  </si>
  <si>
    <t xml:space="preserve">Data Nascimento</t>
  </si>
  <si>
    <t xml:space="preserve">Faixa Etária</t>
  </si>
  <si>
    <t xml:space="preserve">Instrumento(s)</t>
  </si>
  <si>
    <t xml:space="preserve">Contato (WhatsApp)</t>
  </si>
  <si>
    <t xml:space="preserve">Responsável (se menor)</t>
  </si>
  <si>
    <t xml:space="preserve">Horário Semanal</t>
  </si>
  <si>
    <t xml:space="preserve">Valor Mensalidade (R$)</t>
  </si>
  <si>
    <t xml:space="preserve">Data Início</t>
  </si>
  <si>
    <t xml:space="preserve">Meses Ativos</t>
  </si>
  <si>
    <t xml:space="preserve">Status</t>
  </si>
  <si>
    <t xml:space="preserve">Observações</t>
  </si>
  <si>
    <t xml:space="preserve">(11) 98765-4321</t>
  </si>
  <si>
    <t xml:space="preserve">Maria Ferreira</t>
  </si>
  <si>
    <t xml:space="preserve">Sábado 09:00</t>
  </si>
  <si>
    <t xml:space="preserve">Muito dedicada. Boa leitura de partitura. Objetivo: tocar no culto jovens.</t>
  </si>
  <si>
    <t xml:space="preserve">(11) 97654-3210</t>
  </si>
  <si>
    <t xml:space="preserve">Carlos Mendes</t>
  </si>
  <si>
    <t xml:space="preserve">Quarta 17:00</t>
  </si>
  <si>
    <t xml:space="preserve">Adolescente, aprende rápido. Já praticando com duas mãos. Meta: culto adulto.</t>
  </si>
  <si>
    <t xml:space="preserve">(11) 96543-2109</t>
  </si>
  <si>
    <t xml:space="preserve">Terça 19:00</t>
  </si>
  <si>
    <t xml:space="preserve">Adulta, segunda experiência com piano. Progresso sólido em teoria.</t>
  </si>
  <si>
    <t xml:space="preserve">(11) 95432-1098</t>
  </si>
  <si>
    <t xml:space="preserve">Sandra Rocha</t>
  </si>
  <si>
    <t xml:space="preserve">Sábado 10:00</t>
  </si>
  <si>
    <t xml:space="preserve">Musicalização infantil. Foco em ritmo e percepção. Muito animada.</t>
  </si>
  <si>
    <t xml:space="preserve">(11) 94321-0987</t>
  </si>
  <si>
    <t xml:space="preserve">Quinta 18:30</t>
  </si>
  <si>
    <t xml:space="preserve">Adulto jovem. Já em nível intermediário. Candidato a oficial no culto adulto.</t>
  </si>
  <si>
    <t xml:space="preserve">💰  CONTROLE FINANCEIRO — MENSALIDADES</t>
  </si>
  <si>
    <t xml:space="preserve">Mês/Ano Ref.</t>
  </si>
  <si>
    <t xml:space="preserve">Valor Cobrado (R$)</t>
  </si>
  <si>
    <t xml:space="preserve">Valor Pago (R$)</t>
  </si>
  <si>
    <t xml:space="preserve">Data Pagamento</t>
  </si>
  <si>
    <t xml:space="preserve">Forma Pagamento</t>
  </si>
  <si>
    <t xml:space="preserve">Desconto/Obs</t>
  </si>
  <si>
    <t xml:space="preserve">Saldo (R$)</t>
  </si>
  <si>
    <t xml:space="preserve">11/2025</t>
  </si>
  <si>
    <t xml:space="preserve">Pago</t>
  </si>
  <si>
    <t xml:space="preserve">12/2025</t>
  </si>
  <si>
    <t xml:space="preserve">01/2026</t>
  </si>
  <si>
    <t xml:space="preserve">02/2026</t>
  </si>
  <si>
    <t xml:space="preserve">03/2026</t>
  </si>
  <si>
    <t xml:space="preserve">04/2026</t>
  </si>
  <si>
    <t xml:space="preserve">05/2026</t>
  </si>
  <si>
    <t xml:space="preserve">Pendente</t>
  </si>
  <si>
    <t xml:space="preserve">07/2025</t>
  </si>
  <si>
    <t xml:space="preserve">08/2025</t>
  </si>
  <si>
    <t xml:space="preserve">09/2025</t>
  </si>
  <si>
    <t xml:space="preserve">10/2025</t>
  </si>
  <si>
    <t xml:space="preserve">11/2024</t>
  </si>
  <si>
    <t xml:space="preserve">12/2024</t>
  </si>
  <si>
    <t xml:space="preserve">01/2025</t>
  </si>
  <si>
    <t xml:space="preserve">02/2025</t>
  </si>
  <si>
    <t xml:space="preserve">03/2025</t>
  </si>
  <si>
    <t xml:space="preserve">04/2025</t>
  </si>
  <si>
    <t xml:space="preserve">05/2025</t>
  </si>
  <si>
    <t xml:space="preserve">06/2025</t>
  </si>
  <si>
    <t xml:space="preserve">Avisou que paga até dia 10</t>
  </si>
  <si>
    <t xml:space="preserve">📈  PROGRESSO POR ALUNO</t>
  </si>
  <si>
    <t xml:space="preserve">Instrumento</t>
  </si>
  <si>
    <t xml:space="preserve">Estágio Atual</t>
  </si>
  <si>
    <t xml:space="preserve">Teoria (0-100%)</t>
  </si>
  <si>
    <t xml:space="preserve">Método Atual</t>
  </si>
  <si>
    <t xml:space="preserve">Página/Lição Atual</t>
  </si>
  <si>
    <t xml:space="preserve">Técnica — 1 Mão</t>
  </si>
  <si>
    <t xml:space="preserve">Técnica — 2 Mãos</t>
  </si>
  <si>
    <t xml:space="preserve">Técnica — Pedaleira</t>
  </si>
  <si>
    <t xml:space="preserve">Hinos Dominados (qtd)</t>
  </si>
  <si>
    <t xml:space="preserve">Lista de Hinos</t>
  </si>
  <si>
    <t xml:space="preserve">Culto Jovens</t>
  </si>
  <si>
    <t xml:space="preserve">Culto Adulto</t>
  </si>
  <si>
    <t xml:space="preserve">Oficialização</t>
  </si>
  <si>
    <t xml:space="preserve">Última Atualização</t>
  </si>
  <si>
    <t xml:space="preserve">Obs. da Professora</t>
  </si>
  <si>
    <t xml:space="preserve">p. 6</t>
  </si>
  <si>
    <t xml:space="preserve">Grande é o Senhor, Ó Senhor (minha rocha)</t>
  </si>
  <si>
    <t xml:space="preserve">Evolução constante. Coordenação das duas mãos em desenvolvimento.</t>
  </si>
  <si>
    <t xml:space="preserve">p. 18</t>
  </si>
  <si>
    <t xml:space="preserve">Way Maker, Good Good Father, Shout to the Lord, 10.000 Reasons, Oceans</t>
  </si>
  <si>
    <t xml:space="preserve">Aprovado culto jovens. Pedaleira em progresso para culto adulto.</t>
  </si>
  <si>
    <t xml:space="preserve">n. 8</t>
  </si>
  <si>
    <t xml:space="preserve">Quão Grande és Tu, 10.000 Reasons, Ainda Que a Figueira, How Great is Our God</t>
  </si>
  <si>
    <t xml:space="preserve">Pronta para avaliação de culto. Foco em performance e fluidez.</t>
  </si>
  <si>
    <t xml:space="preserve">Módulo 2</t>
  </si>
  <si>
    <t xml:space="preserve">—</t>
  </si>
  <si>
    <t xml:space="preserve">Musicalização em andamento. Foco em percepção e técnica básica de flauta.</t>
  </si>
  <si>
    <t xml:space="preserve">Est. 28</t>
  </si>
  <si>
    <t xml:space="preserve">Quão Grande és Tu, How Great is Our God, Este é o Dia, Aleluia, Oceans, Way Maker, Ainda Que a Figueira, 10.000 Reasons</t>
  </si>
  <si>
    <t xml:space="preserve">Candidato à oficialização. Refinamento técnico em andamento.</t>
  </si>
  <si>
    <t xml:space="preserve">🎼  DASHBOARD — VISÃO GERAL</t>
  </si>
  <si>
    <t xml:space="preserve">Atualizado automaticamente via fórmulas  •  Referência: 23/05/2026</t>
  </si>
  <si>
    <t xml:space="preserve">Total de Alunos Ativos</t>
  </si>
  <si>
    <t xml:space="preserve">Aulas Este Mês</t>
  </si>
  <si>
    <t xml:space="preserve">Faltas Este Mês</t>
  </si>
  <si>
    <t xml:space="preserve">Receita Mês Atual (R$)</t>
  </si>
  <si>
    <t xml:space="preserve">Pendências (R$)</t>
  </si>
  <si>
    <t xml:space="preserve">DISTRIBUIÇÃO POR ESTÁGIO</t>
  </si>
  <si>
    <t xml:space="preserve">PRONTIDÃO PARA CULTO</t>
  </si>
  <si>
    <t xml:space="preserve">alunos aptos</t>
  </si>
  <si>
    <t xml:space="preserve">Apto Jovens</t>
  </si>
  <si>
    <t xml:space="preserve">Apto Adulto</t>
  </si>
  <si>
    <t xml:space="preserve">FREQUÊNCIA POR ALUNO — ÚLTIMAS 4 SEMANAS</t>
  </si>
  <si>
    <t xml:space="preserve">Aulas Prev.</t>
  </si>
  <si>
    <t xml:space="preserve">Presenças</t>
  </si>
  <si>
    <t xml:space="preserve">Faltas</t>
  </si>
  <si>
    <t xml:space="preserve">Taxa Freq.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</si>
</sst>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0%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444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8"/>
      <color rgb="FF3C3489"/>
      <name val="Arial"/>
      <family val="0"/>
      <charset val="1"/>
    </font>
    <font>
      <b val="true"/>
      <sz val="18"/>
      <color rgb="FF085041"/>
      <name val="Arial"/>
      <family val="0"/>
      <charset val="1"/>
    </font>
    <font>
      <b val="true"/>
      <sz val="18"/>
      <color rgb="FF633806"/>
      <name val="Arial"/>
      <family val="0"/>
      <charset val="1"/>
    </font>
    <font>
      <b val="true"/>
      <sz val="11"/>
      <color rgb="FF3C3489"/>
      <name val="Arial"/>
      <family val="0"/>
      <charset val="1"/>
    </font>
    <font>
      <b val="true"/>
      <sz val="11"/>
      <color rgb="FF08504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C3489"/>
        <bgColor rgb="FF444441"/>
      </patternFill>
    </fill>
    <fill>
      <patternFill patternType="solid">
        <fgColor rgb="FFF1EFE8"/>
        <bgColor rgb="FFFAEEDA"/>
      </patternFill>
    </fill>
    <fill>
      <patternFill patternType="solid">
        <fgColor rgb="FF7F77DD"/>
        <bgColor rgb="FF9999FF"/>
      </patternFill>
    </fill>
    <fill>
      <patternFill patternType="solid">
        <fgColor rgb="FFF8F7FF"/>
        <bgColor rgb="FFFFFFFF"/>
      </patternFill>
    </fill>
    <fill>
      <patternFill patternType="solid">
        <fgColor rgb="FFFFFFFF"/>
        <bgColor rgb="FFF8F7FF"/>
      </patternFill>
    </fill>
    <fill>
      <patternFill patternType="solid">
        <fgColor rgb="FF085041"/>
        <bgColor rgb="FF003300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633806"/>
        <bgColor rgb="FF791F1F"/>
      </patternFill>
    </fill>
    <fill>
      <patternFill patternType="solid">
        <fgColor rgb="FFEEEDFE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EEDA"/>
      <rgbColor rgb="FFE1F5EE"/>
      <rgbColor rgb="FF660066"/>
      <rgbColor rgb="FFFF8080"/>
      <rgbColor rgb="FF0066CC"/>
      <rgbColor rgb="FFF8F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CEBEB"/>
      <rgbColor rgb="FF99CCFF"/>
      <rgbColor rgb="FFFF99CC"/>
      <rgbColor rgb="FFCC99FF"/>
      <rgbColor rgb="FFFFCC99"/>
      <rgbColor rgb="FF3366FF"/>
      <rgbColor rgb="FF5DCAA5"/>
      <rgbColor rgb="FF99CC00"/>
      <rgbColor rgb="FFFFCC00"/>
      <rgbColor rgb="FFEF9F27"/>
      <rgbColor rgb="FFFF6600"/>
      <rgbColor rgb="FF7F77DD"/>
      <rgbColor rgb="FF969696"/>
      <rgbColor rgb="FF085041"/>
      <rgbColor rgb="FF1D9E75"/>
      <rgbColor rgb="FF003300"/>
      <rgbColor rgb="FF633806"/>
      <rgbColor rgb="FF791F1F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9F27"/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10" min="7" style="0" width="2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8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</row>
    <row r="6" customFormat="false" ht="18" hidden="false" customHeight="true" outlineLevel="0" collapsed="false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</row>
    <row r="7" customFormat="false" ht="18" hidden="false" customHeight="true" outlineLevel="0" collapsed="false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52</v>
      </c>
      <c r="L7" s="4" t="s">
        <v>53</v>
      </c>
      <c r="M7" s="4" t="s">
        <v>54</v>
      </c>
    </row>
    <row r="8" customFormat="false" ht="18" hidden="false" customHeight="true" outlineLevel="0" collapsed="false">
      <c r="A8" s="5" t="s">
        <v>55</v>
      </c>
      <c r="B8" s="5" t="s">
        <v>56</v>
      </c>
      <c r="C8" s="5" t="s">
        <v>57</v>
      </c>
      <c r="D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M8" s="5" t="s">
        <v>65</v>
      </c>
    </row>
    <row r="9" customFormat="false" ht="18" hidden="false" customHeight="true" outlineLevel="0" collapsed="false">
      <c r="A9" s="4" t="s">
        <v>66</v>
      </c>
      <c r="B9" s="4" t="s">
        <v>67</v>
      </c>
      <c r="C9" s="4" t="s">
        <v>68</v>
      </c>
      <c r="D9" s="4" t="s">
        <v>69</v>
      </c>
      <c r="G9" s="4" t="s">
        <v>70</v>
      </c>
      <c r="I9" s="4" t="s">
        <v>71</v>
      </c>
      <c r="J9" s="4" t="s">
        <v>72</v>
      </c>
    </row>
    <row r="10" customFormat="false" ht="18" hidden="false" customHeight="true" outlineLevel="0" collapsed="false">
      <c r="B10" s="5" t="s">
        <v>73</v>
      </c>
      <c r="G10" s="5" t="s">
        <v>74</v>
      </c>
    </row>
    <row r="11" customFormat="false" ht="18" hidden="false" customHeight="true" outlineLevel="0" collapsed="false">
      <c r="G11" s="4" t="s">
        <v>75</v>
      </c>
    </row>
    <row r="12" customFormat="false" ht="18" hidden="false" customHeight="true" outlineLevel="0" collapsed="false">
      <c r="G12" s="5" t="s">
        <v>76</v>
      </c>
    </row>
    <row r="13" customFormat="false" ht="18" hidden="false" customHeight="true" outlineLevel="0" collapsed="false">
      <c r="G13" s="4" t="s">
        <v>77</v>
      </c>
    </row>
    <row r="14" customFormat="false" ht="18" hidden="false" customHeight="true" outlineLevel="0" collapsed="false">
      <c r="G14" s="5" t="s">
        <v>78</v>
      </c>
    </row>
    <row r="15" customFormat="false" ht="18" hidden="false" customHeight="true" outlineLevel="0" collapsed="false">
      <c r="G15" s="4" t="s">
        <v>79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28"/>
    <col collapsed="false" customWidth="true" hidden="false" outlineLevel="0" max="10" min="9" style="0" width="32"/>
    <col collapsed="false" customWidth="true" hidden="false" outlineLevel="0" max="11" min="11" style="0" width="38"/>
    <col collapsed="false" customWidth="true" hidden="false" outlineLevel="0" max="12" min="12" style="0" width="18"/>
  </cols>
  <sheetData>
    <row r="1" customFormat="false" ht="36" hidden="false" customHeight="true" outlineLevel="0" collapsed="false">
      <c r="A1" s="6" t="s">
        <v>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7.75" hidden="false" customHeight="true" outlineLevel="0" collapsed="false">
      <c r="A2" s="7" t="s">
        <v>81</v>
      </c>
      <c r="B2" s="7" t="s">
        <v>82</v>
      </c>
      <c r="C2" s="7" t="s">
        <v>83</v>
      </c>
      <c r="D2" s="7" t="s">
        <v>84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89</v>
      </c>
      <c r="J2" s="7" t="s">
        <v>90</v>
      </c>
      <c r="K2" s="7" t="s">
        <v>91</v>
      </c>
      <c r="L2" s="7" t="s">
        <v>92</v>
      </c>
    </row>
    <row r="3" customFormat="false" ht="19.5" hidden="false" customHeight="true" outlineLevel="0" collapsed="false">
      <c r="A3" s="8" t="n">
        <v>45969</v>
      </c>
      <c r="B3" s="9" t="s">
        <v>93</v>
      </c>
      <c r="C3" s="10" t="s">
        <v>19</v>
      </c>
      <c r="D3" s="9"/>
      <c r="E3" s="9" t="s">
        <v>18</v>
      </c>
      <c r="F3" s="9" t="s">
        <v>75</v>
      </c>
      <c r="G3" s="9" t="s">
        <v>94</v>
      </c>
      <c r="H3" s="9"/>
      <c r="I3" s="9" t="s">
        <v>95</v>
      </c>
      <c r="J3" s="9"/>
      <c r="K3" s="9" t="s">
        <v>96</v>
      </c>
      <c r="L3" s="9" t="s">
        <v>97</v>
      </c>
    </row>
    <row r="4" customFormat="false" ht="19.5" hidden="false" customHeight="true" outlineLevel="0" collapsed="false">
      <c r="A4" s="8" t="n">
        <v>45976</v>
      </c>
      <c r="B4" s="9" t="s">
        <v>93</v>
      </c>
      <c r="C4" s="10" t="s">
        <v>19</v>
      </c>
      <c r="D4" s="9"/>
      <c r="E4" s="9" t="s">
        <v>31</v>
      </c>
      <c r="F4" s="9" t="s">
        <v>22</v>
      </c>
      <c r="G4" s="9" t="s">
        <v>98</v>
      </c>
      <c r="H4" s="9" t="s">
        <v>23</v>
      </c>
      <c r="I4" s="9" t="s">
        <v>99</v>
      </c>
      <c r="J4" s="9"/>
      <c r="K4" s="9" t="s">
        <v>100</v>
      </c>
      <c r="L4" s="9" t="s">
        <v>97</v>
      </c>
    </row>
    <row r="5" customFormat="false" ht="19.5" hidden="false" customHeight="true" outlineLevel="0" collapsed="false">
      <c r="A5" s="8" t="n">
        <v>45983</v>
      </c>
      <c r="B5" s="9" t="s">
        <v>93</v>
      </c>
      <c r="C5" s="11" t="s">
        <v>32</v>
      </c>
      <c r="D5" s="9" t="s">
        <v>101</v>
      </c>
      <c r="E5" s="9"/>
      <c r="F5" s="9"/>
      <c r="G5" s="9"/>
      <c r="H5" s="9"/>
      <c r="I5" s="9"/>
      <c r="J5" s="9"/>
      <c r="K5" s="9" t="s">
        <v>102</v>
      </c>
      <c r="L5" s="9" t="s">
        <v>97</v>
      </c>
    </row>
    <row r="6" customFormat="false" ht="19.5" hidden="false" customHeight="true" outlineLevel="0" collapsed="false">
      <c r="A6" s="8" t="n">
        <v>45986</v>
      </c>
      <c r="B6" s="9" t="s">
        <v>93</v>
      </c>
      <c r="C6" s="10" t="s">
        <v>19</v>
      </c>
      <c r="D6" s="9"/>
      <c r="E6" s="9" t="s">
        <v>44</v>
      </c>
      <c r="F6" s="9" t="s">
        <v>22</v>
      </c>
      <c r="G6" s="9" t="s">
        <v>103</v>
      </c>
      <c r="H6" s="9" t="s">
        <v>104</v>
      </c>
      <c r="I6" s="9" t="s">
        <v>105</v>
      </c>
      <c r="J6" s="9" t="s">
        <v>106</v>
      </c>
      <c r="K6" s="9" t="s">
        <v>107</v>
      </c>
      <c r="L6" s="9" t="s">
        <v>108</v>
      </c>
    </row>
    <row r="7" customFormat="false" ht="19.5" hidden="false" customHeight="true" outlineLevel="0" collapsed="false">
      <c r="A7" s="8" t="n">
        <v>45997</v>
      </c>
      <c r="B7" s="9" t="s">
        <v>93</v>
      </c>
      <c r="C7" s="10" t="s">
        <v>19</v>
      </c>
      <c r="D7" s="9"/>
      <c r="E7" s="9" t="s">
        <v>44</v>
      </c>
      <c r="F7" s="9" t="s">
        <v>22</v>
      </c>
      <c r="G7" s="9" t="s">
        <v>109</v>
      </c>
      <c r="H7" s="9" t="s">
        <v>110</v>
      </c>
      <c r="I7" s="9" t="s">
        <v>111</v>
      </c>
      <c r="J7" s="9"/>
      <c r="K7" s="9" t="s">
        <v>112</v>
      </c>
      <c r="L7" s="9" t="s">
        <v>97</v>
      </c>
    </row>
    <row r="8" customFormat="false" ht="19.5" hidden="false" customHeight="true" outlineLevel="0" collapsed="false">
      <c r="A8" s="8" t="n">
        <v>45840</v>
      </c>
      <c r="B8" s="9" t="s">
        <v>113</v>
      </c>
      <c r="C8" s="10" t="s">
        <v>19</v>
      </c>
      <c r="D8" s="9"/>
      <c r="E8" s="9" t="s">
        <v>18</v>
      </c>
      <c r="F8" s="9" t="s">
        <v>75</v>
      </c>
      <c r="G8" s="9" t="s">
        <v>114</v>
      </c>
      <c r="H8" s="9"/>
      <c r="I8" s="9" t="s">
        <v>115</v>
      </c>
      <c r="J8" s="9"/>
      <c r="K8" s="9" t="s">
        <v>116</v>
      </c>
      <c r="L8" s="9" t="s">
        <v>97</v>
      </c>
    </row>
    <row r="9" customFormat="false" ht="19.5" hidden="false" customHeight="true" outlineLevel="0" collapsed="false">
      <c r="A9" s="8" t="n">
        <v>45847</v>
      </c>
      <c r="B9" s="9" t="s">
        <v>113</v>
      </c>
      <c r="C9" s="10" t="s">
        <v>19</v>
      </c>
      <c r="D9" s="9"/>
      <c r="E9" s="9" t="s">
        <v>31</v>
      </c>
      <c r="F9" s="9" t="s">
        <v>35</v>
      </c>
      <c r="G9" s="9" t="s">
        <v>117</v>
      </c>
      <c r="H9" s="9" t="s">
        <v>118</v>
      </c>
      <c r="I9" s="9" t="s">
        <v>119</v>
      </c>
      <c r="J9" s="9" t="s">
        <v>120</v>
      </c>
      <c r="K9" s="9" t="s">
        <v>121</v>
      </c>
      <c r="L9" s="9" t="s">
        <v>97</v>
      </c>
    </row>
    <row r="10" customFormat="false" ht="19.5" hidden="false" customHeight="true" outlineLevel="0" collapsed="false">
      <c r="A10" s="8" t="n">
        <v>45875</v>
      </c>
      <c r="B10" s="9" t="s">
        <v>113</v>
      </c>
      <c r="C10" s="10" t="s">
        <v>19</v>
      </c>
      <c r="D10" s="9"/>
      <c r="E10" s="9" t="s">
        <v>44</v>
      </c>
      <c r="F10" s="9" t="s">
        <v>35</v>
      </c>
      <c r="G10" s="9" t="s">
        <v>122</v>
      </c>
      <c r="H10" s="9" t="s">
        <v>123</v>
      </c>
      <c r="I10" s="9" t="s">
        <v>124</v>
      </c>
      <c r="J10" s="9" t="s">
        <v>125</v>
      </c>
      <c r="K10" s="9" t="s">
        <v>126</v>
      </c>
      <c r="L10" s="9" t="s">
        <v>108</v>
      </c>
    </row>
    <row r="11" customFormat="false" ht="19.5" hidden="false" customHeight="true" outlineLevel="0" collapsed="false">
      <c r="A11" s="8" t="n">
        <v>45903</v>
      </c>
      <c r="B11" s="9" t="s">
        <v>113</v>
      </c>
      <c r="C11" s="11" t="s">
        <v>58</v>
      </c>
      <c r="D11" s="9" t="s">
        <v>127</v>
      </c>
      <c r="E11" s="9"/>
      <c r="F11" s="9"/>
      <c r="G11" s="9"/>
      <c r="H11" s="9"/>
      <c r="I11" s="9"/>
      <c r="J11" s="9"/>
      <c r="K11" s="9" t="s">
        <v>128</v>
      </c>
      <c r="L11" s="9" t="s">
        <v>97</v>
      </c>
    </row>
    <row r="12" customFormat="false" ht="19.5" hidden="false" customHeight="true" outlineLevel="0" collapsed="false">
      <c r="A12" s="8" t="n">
        <v>45931</v>
      </c>
      <c r="B12" s="9" t="s">
        <v>113</v>
      </c>
      <c r="C12" s="10" t="s">
        <v>19</v>
      </c>
      <c r="D12" s="9"/>
      <c r="E12" s="9" t="s">
        <v>44</v>
      </c>
      <c r="F12" s="9" t="s">
        <v>129</v>
      </c>
      <c r="G12" s="9" t="s">
        <v>130</v>
      </c>
      <c r="H12" s="9" t="s">
        <v>131</v>
      </c>
      <c r="I12" s="9" t="s">
        <v>132</v>
      </c>
      <c r="J12" s="9"/>
      <c r="K12" s="9" t="s">
        <v>133</v>
      </c>
      <c r="L12" s="9" t="s">
        <v>108</v>
      </c>
    </row>
    <row r="13" customFormat="false" ht="19.5" hidden="false" customHeight="true" outlineLevel="0" collapsed="false">
      <c r="A13" s="8" t="n">
        <v>45601</v>
      </c>
      <c r="B13" s="9" t="s">
        <v>134</v>
      </c>
      <c r="C13" s="10" t="s">
        <v>19</v>
      </c>
      <c r="D13" s="9"/>
      <c r="E13" s="9" t="s">
        <v>18</v>
      </c>
      <c r="F13" s="9" t="s">
        <v>75</v>
      </c>
      <c r="G13" s="9" t="s">
        <v>135</v>
      </c>
      <c r="H13" s="9"/>
      <c r="I13" s="9" t="s">
        <v>136</v>
      </c>
      <c r="J13" s="9"/>
      <c r="K13" s="9" t="s">
        <v>137</v>
      </c>
      <c r="L13" s="9" t="s">
        <v>97</v>
      </c>
    </row>
    <row r="14" customFormat="false" ht="19.5" hidden="false" customHeight="true" outlineLevel="0" collapsed="false">
      <c r="A14" s="8" t="n">
        <v>45636</v>
      </c>
      <c r="B14" s="9" t="s">
        <v>134</v>
      </c>
      <c r="C14" s="10" t="s">
        <v>19</v>
      </c>
      <c r="D14" s="9"/>
      <c r="E14" s="9" t="s">
        <v>31</v>
      </c>
      <c r="F14" s="9" t="s">
        <v>74</v>
      </c>
      <c r="G14" s="9" t="s">
        <v>138</v>
      </c>
      <c r="H14" s="9" t="s">
        <v>139</v>
      </c>
      <c r="I14" s="9" t="s">
        <v>140</v>
      </c>
      <c r="J14" s="9" t="s">
        <v>141</v>
      </c>
      <c r="K14" s="9" t="s">
        <v>142</v>
      </c>
      <c r="L14" s="9" t="s">
        <v>97</v>
      </c>
    </row>
    <row r="15" customFormat="false" ht="19.5" hidden="false" customHeight="true" outlineLevel="0" collapsed="false">
      <c r="A15" s="8" t="n">
        <v>45692</v>
      </c>
      <c r="B15" s="9" t="s">
        <v>134</v>
      </c>
      <c r="C15" s="10" t="s">
        <v>19</v>
      </c>
      <c r="D15" s="9"/>
      <c r="E15" s="9" t="s">
        <v>44</v>
      </c>
      <c r="F15" s="9" t="s">
        <v>143</v>
      </c>
      <c r="G15" s="9" t="s">
        <v>144</v>
      </c>
      <c r="H15" s="9" t="s">
        <v>145</v>
      </c>
      <c r="I15" s="9" t="s">
        <v>146</v>
      </c>
      <c r="J15" s="9" t="s">
        <v>147</v>
      </c>
      <c r="K15" s="9" t="s">
        <v>148</v>
      </c>
      <c r="L15" s="9" t="s">
        <v>108</v>
      </c>
    </row>
    <row r="16" customFormat="false" ht="19.5" hidden="false" customHeight="true" outlineLevel="0" collapsed="false">
      <c r="A16" s="8" t="n">
        <v>45748</v>
      </c>
      <c r="B16" s="9" t="s">
        <v>134</v>
      </c>
      <c r="C16" s="10" t="s">
        <v>19</v>
      </c>
      <c r="D16" s="9"/>
      <c r="E16" s="9" t="s">
        <v>44</v>
      </c>
      <c r="F16" s="9" t="s">
        <v>74</v>
      </c>
      <c r="G16" s="9" t="s">
        <v>149</v>
      </c>
      <c r="H16" s="9" t="s">
        <v>150</v>
      </c>
      <c r="I16" s="9" t="s">
        <v>151</v>
      </c>
      <c r="J16" s="9"/>
      <c r="K16" s="9" t="s">
        <v>152</v>
      </c>
      <c r="L16" s="9" t="s">
        <v>108</v>
      </c>
    </row>
    <row r="17" customFormat="false" ht="19.5" hidden="false" customHeight="true" outlineLevel="0" collapsed="false">
      <c r="A17" s="8" t="n">
        <v>45783</v>
      </c>
      <c r="B17" s="9" t="s">
        <v>134</v>
      </c>
      <c r="C17" s="12" t="s">
        <v>45</v>
      </c>
      <c r="D17" s="9"/>
      <c r="E17" s="9"/>
      <c r="F17" s="9"/>
      <c r="G17" s="9"/>
      <c r="H17" s="9"/>
      <c r="I17" s="9"/>
      <c r="J17" s="9"/>
      <c r="K17" s="9" t="s">
        <v>153</v>
      </c>
      <c r="L17" s="9" t="s">
        <v>97</v>
      </c>
    </row>
    <row r="18" customFormat="false" ht="19.5" hidden="false" customHeight="true" outlineLevel="0" collapsed="false">
      <c r="A18" s="8" t="n">
        <v>46032</v>
      </c>
      <c r="B18" s="9" t="s">
        <v>154</v>
      </c>
      <c r="C18" s="10" t="s">
        <v>19</v>
      </c>
      <c r="D18" s="9"/>
      <c r="E18" s="9" t="s">
        <v>57</v>
      </c>
      <c r="F18" s="9" t="s">
        <v>76</v>
      </c>
      <c r="G18" s="9" t="s">
        <v>155</v>
      </c>
      <c r="H18" s="9"/>
      <c r="I18" s="9" t="s">
        <v>156</v>
      </c>
      <c r="J18" s="9"/>
      <c r="K18" s="9" t="s">
        <v>157</v>
      </c>
      <c r="L18" s="9" t="s">
        <v>97</v>
      </c>
    </row>
    <row r="19" customFormat="false" ht="19.5" hidden="false" customHeight="true" outlineLevel="0" collapsed="false">
      <c r="A19" s="8" t="n">
        <v>46039</v>
      </c>
      <c r="B19" s="9" t="s">
        <v>154</v>
      </c>
      <c r="C19" s="10" t="s">
        <v>19</v>
      </c>
      <c r="D19" s="9"/>
      <c r="E19" s="9" t="s">
        <v>57</v>
      </c>
      <c r="F19" s="9" t="s">
        <v>76</v>
      </c>
      <c r="G19" s="9" t="s">
        <v>158</v>
      </c>
      <c r="H19" s="9"/>
      <c r="I19" s="9" t="s">
        <v>159</v>
      </c>
      <c r="J19" s="9" t="s">
        <v>160</v>
      </c>
      <c r="K19" s="9" t="s">
        <v>161</v>
      </c>
      <c r="L19" s="9" t="s">
        <v>97</v>
      </c>
    </row>
    <row r="20" customFormat="false" ht="19.5" hidden="false" customHeight="true" outlineLevel="0" collapsed="false">
      <c r="A20" s="8" t="n">
        <v>46060</v>
      </c>
      <c r="B20" s="9" t="s">
        <v>154</v>
      </c>
      <c r="C20" s="10" t="s">
        <v>19</v>
      </c>
      <c r="D20" s="9"/>
      <c r="E20" s="9" t="s">
        <v>57</v>
      </c>
      <c r="F20" s="9" t="s">
        <v>76</v>
      </c>
      <c r="G20" s="9" t="s">
        <v>162</v>
      </c>
      <c r="H20" s="9"/>
      <c r="I20" s="9" t="s">
        <v>163</v>
      </c>
      <c r="J20" s="9"/>
      <c r="K20" s="9" t="s">
        <v>164</v>
      </c>
      <c r="L20" s="9" t="s">
        <v>108</v>
      </c>
    </row>
    <row r="21" customFormat="false" ht="19.5" hidden="false" customHeight="true" outlineLevel="0" collapsed="false">
      <c r="A21" s="8" t="n">
        <v>46088</v>
      </c>
      <c r="B21" s="9" t="s">
        <v>154</v>
      </c>
      <c r="C21" s="11" t="s">
        <v>32</v>
      </c>
      <c r="D21" s="9" t="s">
        <v>165</v>
      </c>
      <c r="E21" s="9"/>
      <c r="F21" s="9"/>
      <c r="G21" s="9"/>
      <c r="H21" s="9"/>
      <c r="I21" s="9"/>
      <c r="J21" s="9"/>
      <c r="K21" s="9" t="s">
        <v>166</v>
      </c>
      <c r="L21" s="9" t="s">
        <v>97</v>
      </c>
    </row>
    <row r="22" customFormat="false" ht="19.5" hidden="false" customHeight="true" outlineLevel="0" collapsed="false">
      <c r="A22" s="8" t="n">
        <v>45784</v>
      </c>
      <c r="B22" s="9" t="s">
        <v>167</v>
      </c>
      <c r="C22" s="10" t="s">
        <v>19</v>
      </c>
      <c r="D22" s="9"/>
      <c r="E22" s="9" t="s">
        <v>44</v>
      </c>
      <c r="F22" s="9" t="s">
        <v>168</v>
      </c>
      <c r="G22" s="9" t="s">
        <v>169</v>
      </c>
      <c r="H22" s="9" t="s">
        <v>170</v>
      </c>
      <c r="I22" s="9" t="s">
        <v>171</v>
      </c>
      <c r="J22" s="9"/>
      <c r="K22" s="9" t="s">
        <v>172</v>
      </c>
      <c r="L22" s="9" t="s">
        <v>97</v>
      </c>
    </row>
    <row r="23" customFormat="false" ht="19.5" hidden="false" customHeight="true" outlineLevel="0" collapsed="false">
      <c r="A23" s="8" t="n">
        <v>45840</v>
      </c>
      <c r="B23" s="9" t="s">
        <v>167</v>
      </c>
      <c r="C23" s="10" t="s">
        <v>19</v>
      </c>
      <c r="D23" s="9"/>
      <c r="E23" s="9" t="s">
        <v>31</v>
      </c>
      <c r="F23" s="9" t="s">
        <v>173</v>
      </c>
      <c r="G23" s="9" t="s">
        <v>174</v>
      </c>
      <c r="H23" s="9" t="s">
        <v>175</v>
      </c>
      <c r="I23" s="9" t="s">
        <v>176</v>
      </c>
      <c r="J23" s="9" t="s">
        <v>177</v>
      </c>
      <c r="K23" s="9" t="s">
        <v>178</v>
      </c>
      <c r="L23" s="9" t="s">
        <v>108</v>
      </c>
    </row>
    <row r="24" customFormat="false" ht="19.5" hidden="false" customHeight="true" outlineLevel="0" collapsed="false">
      <c r="A24" s="8" t="n">
        <v>45903</v>
      </c>
      <c r="B24" s="9" t="s">
        <v>167</v>
      </c>
      <c r="C24" s="10" t="s">
        <v>19</v>
      </c>
      <c r="D24" s="9"/>
      <c r="E24" s="9" t="s">
        <v>68</v>
      </c>
      <c r="F24" s="9" t="s">
        <v>79</v>
      </c>
      <c r="G24" s="9" t="s">
        <v>179</v>
      </c>
      <c r="H24" s="9" t="s">
        <v>180</v>
      </c>
      <c r="I24" s="9" t="s">
        <v>181</v>
      </c>
      <c r="J24" s="9"/>
      <c r="K24" s="9" t="s">
        <v>182</v>
      </c>
      <c r="L24" s="9" t="s">
        <v>108</v>
      </c>
    </row>
    <row r="25" customFormat="false" ht="19.5" hidden="false" customHeight="true" outlineLevel="0" collapsed="false">
      <c r="A25" s="8" t="n">
        <v>45966</v>
      </c>
      <c r="B25" s="9" t="s">
        <v>167</v>
      </c>
      <c r="C25" s="10" t="s">
        <v>19</v>
      </c>
      <c r="D25" s="9"/>
      <c r="E25" s="9" t="s">
        <v>44</v>
      </c>
      <c r="F25" s="9" t="s">
        <v>60</v>
      </c>
      <c r="G25" s="9" t="s">
        <v>183</v>
      </c>
      <c r="H25" s="9" t="s">
        <v>184</v>
      </c>
      <c r="I25" s="9" t="s">
        <v>185</v>
      </c>
      <c r="J25" s="9" t="s">
        <v>186</v>
      </c>
      <c r="K25" s="9" t="s">
        <v>187</v>
      </c>
      <c r="L25" s="9" t="s">
        <v>108</v>
      </c>
    </row>
  </sheetData>
  <mergeCells count="1">
    <mergeCell ref="A1:L1"/>
  </mergeCells>
  <dataValidations count="5">
    <dataValidation allowBlank="true" error="Selecione uma opção da lista." errorStyle="stop" errorTitle="Valor inválido" operator="between" showDropDown="false" showErrorMessage="true" showInputMessage="false" sqref="B3:B500" type="list">
      <formula1>Alunos!$B$3:$B$7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C3:C500" type="list">
      <formula1>Listas!$D$5:$D$20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E3:E500" type="list">
      <formula1>Listas!$C$5:$C$20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F3:F500" type="list">
      <formula1>Listas!$G$5:$G$20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L3:L5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35"/>
  </cols>
  <sheetData>
    <row r="1" customFormat="false" ht="36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13" t="s">
        <v>189</v>
      </c>
      <c r="B2" s="13" t="s">
        <v>190</v>
      </c>
      <c r="C2" s="13" t="s">
        <v>191</v>
      </c>
      <c r="D2" s="13" t="s">
        <v>192</v>
      </c>
      <c r="E2" s="13" t="s">
        <v>193</v>
      </c>
      <c r="F2" s="13" t="s">
        <v>194</v>
      </c>
      <c r="G2" s="13" t="s">
        <v>195</v>
      </c>
      <c r="H2" s="13" t="s">
        <v>196</v>
      </c>
      <c r="I2" s="13" t="s">
        <v>197</v>
      </c>
      <c r="J2" s="13" t="s">
        <v>198</v>
      </c>
      <c r="K2" s="13" t="s">
        <v>199</v>
      </c>
      <c r="L2" s="13" t="s">
        <v>200</v>
      </c>
      <c r="M2" s="13" t="s">
        <v>201</v>
      </c>
    </row>
    <row r="3" customFormat="false" ht="19.5" hidden="false" customHeight="true" outlineLevel="0" collapsed="false">
      <c r="A3" s="9" t="n">
        <v>1</v>
      </c>
      <c r="B3" s="9" t="s">
        <v>93</v>
      </c>
      <c r="C3" s="8" t="n">
        <v>40252</v>
      </c>
      <c r="D3" s="9" t="str">
        <f aca="true">IF(AND(Alunos!C3&lt;&gt;"",Alunos!C3&lt;&gt;0),IF(DATEDIF(C3,TODAY(),"Y")&lt;8,"Musicalização (0-7)",IF(DATEDIF(C3,TODAY(),"Y")&lt;13,"Infantil (8-12)",IF(DATEDIF(C3,TODAY(),"Y")&lt;18,"Adolescente (13-17)","Adulto (18+)"))),"—")</f>
        <v>Adolescente (13-17)</v>
      </c>
      <c r="E3" s="9" t="s">
        <v>16</v>
      </c>
      <c r="F3" s="9" t="s">
        <v>202</v>
      </c>
      <c r="G3" s="9" t="s">
        <v>203</v>
      </c>
      <c r="H3" s="9" t="s">
        <v>204</v>
      </c>
      <c r="I3" s="14" t="n">
        <v>180</v>
      </c>
      <c r="J3" s="8" t="n">
        <v>45962</v>
      </c>
      <c r="K3" s="9" t="n">
        <f aca="true">DATEDIF(J3,TODAY(),"M")</f>
        <v>6</v>
      </c>
      <c r="L3" s="10" t="s">
        <v>27</v>
      </c>
      <c r="M3" s="9" t="s">
        <v>205</v>
      </c>
    </row>
    <row r="4" customFormat="false" ht="19.5" hidden="false" customHeight="true" outlineLevel="0" collapsed="false">
      <c r="A4" s="9" t="n">
        <v>2</v>
      </c>
      <c r="B4" s="9" t="s">
        <v>113</v>
      </c>
      <c r="C4" s="8" t="n">
        <v>39651</v>
      </c>
      <c r="D4" s="9" t="str">
        <f aca="true">IF(AND(Alunos!C4&lt;&gt;"",Alunos!C4&lt;&gt;0),IF(DATEDIF(C4,TODAY(),"Y")&lt;8,"Musicalização (0-7)",IF(DATEDIF(C4,TODAY(),"Y")&lt;13,"Infantil (8-12)",IF(DATEDIF(C4,TODAY(),"Y")&lt;18,"Adolescente (13-17)","Adulto (18+)"))),"—")</f>
        <v>Adolescente (13-17)</v>
      </c>
      <c r="E4" s="9" t="s">
        <v>55</v>
      </c>
      <c r="F4" s="9" t="s">
        <v>206</v>
      </c>
      <c r="G4" s="9" t="s">
        <v>207</v>
      </c>
      <c r="H4" s="9" t="s">
        <v>208</v>
      </c>
      <c r="I4" s="14" t="n">
        <v>200</v>
      </c>
      <c r="J4" s="8" t="n">
        <v>45839</v>
      </c>
      <c r="K4" s="9" t="n">
        <f aca="true">DATEDIF(J4,TODAY(),"M")</f>
        <v>10</v>
      </c>
      <c r="L4" s="10" t="s">
        <v>27</v>
      </c>
      <c r="M4" s="9" t="s">
        <v>209</v>
      </c>
    </row>
    <row r="5" customFormat="false" ht="19.5" hidden="false" customHeight="true" outlineLevel="0" collapsed="false">
      <c r="A5" s="9" t="n">
        <v>3</v>
      </c>
      <c r="B5" s="9" t="s">
        <v>134</v>
      </c>
      <c r="C5" s="8" t="n">
        <v>32903</v>
      </c>
      <c r="D5" s="9" t="str">
        <f aca="true">IF(AND(Alunos!C5&lt;&gt;"",Alunos!C5&lt;&gt;0),IF(DATEDIF(C5,TODAY(),"Y")&lt;8,"Musicalização (0-7)",IF(DATEDIF(C5,TODAY(),"Y")&lt;13,"Infantil (8-12)",IF(DATEDIF(C5,TODAY(),"Y")&lt;18,"Adolescente (13-17)","Adulto (18+)"))),"—")</f>
        <v>Adulto (18+)</v>
      </c>
      <c r="E5" s="9" t="s">
        <v>16</v>
      </c>
      <c r="F5" s="9" t="s">
        <v>210</v>
      </c>
      <c r="G5" s="9"/>
      <c r="H5" s="9" t="s">
        <v>211</v>
      </c>
      <c r="I5" s="14" t="n">
        <v>220</v>
      </c>
      <c r="J5" s="8" t="n">
        <v>45597</v>
      </c>
      <c r="K5" s="9" t="n">
        <f aca="true">DATEDIF(J5,TODAY(),"M")</f>
        <v>18</v>
      </c>
      <c r="L5" s="10" t="s">
        <v>27</v>
      </c>
      <c r="M5" s="9" t="s">
        <v>212</v>
      </c>
    </row>
    <row r="6" customFormat="false" ht="19.5" hidden="false" customHeight="true" outlineLevel="0" collapsed="false">
      <c r="A6" s="9" t="n">
        <v>4</v>
      </c>
      <c r="B6" s="9" t="s">
        <v>154</v>
      </c>
      <c r="C6" s="8" t="n">
        <v>43348</v>
      </c>
      <c r="D6" s="9" t="str">
        <f aca="true">IF(AND(Alunos!C6&lt;&gt;"",Alunos!C6&lt;&gt;0),IF(DATEDIF(C6,TODAY(),"Y")&lt;8,"Musicalização (0-7)",IF(DATEDIF(C6,TODAY(),"Y")&lt;13,"Infantil (8-12)",IF(DATEDIF(C6,TODAY(),"Y")&lt;18,"Adolescente (13-17)","Adulto (18+)"))),"—")</f>
        <v>Musicalização (0-7)</v>
      </c>
      <c r="E6" s="9" t="s">
        <v>42</v>
      </c>
      <c r="F6" s="9" t="s">
        <v>213</v>
      </c>
      <c r="G6" s="9" t="s">
        <v>214</v>
      </c>
      <c r="H6" s="9" t="s">
        <v>215</v>
      </c>
      <c r="I6" s="14" t="n">
        <v>150</v>
      </c>
      <c r="J6" s="8" t="n">
        <v>46023</v>
      </c>
      <c r="K6" s="9" t="n">
        <f aca="true">DATEDIF(J6,TODAY(),"M")</f>
        <v>4</v>
      </c>
      <c r="L6" s="10" t="s">
        <v>27</v>
      </c>
      <c r="M6" s="9" t="s">
        <v>216</v>
      </c>
    </row>
    <row r="7" customFormat="false" ht="19.5" hidden="false" customHeight="true" outlineLevel="0" collapsed="false">
      <c r="A7" s="9" t="n">
        <v>5</v>
      </c>
      <c r="B7" s="9" t="s">
        <v>167</v>
      </c>
      <c r="C7" s="8" t="n">
        <v>36999</v>
      </c>
      <c r="D7" s="9" t="str">
        <f aca="true">IF(AND(Alunos!C7&lt;&gt;"",Alunos!C7&lt;&gt;0),IF(DATEDIF(C7,TODAY(),"Y")&lt;8,"Musicalização (0-7)",IF(DATEDIF(C7,TODAY(),"Y")&lt;13,"Infantil (8-12)",IF(DATEDIF(C7,TODAY(),"Y")&lt;18,"Adolescente (13-17)","Adulto (18+)"))),"—")</f>
        <v>Adulto (18+)</v>
      </c>
      <c r="E7" s="9" t="s">
        <v>55</v>
      </c>
      <c r="F7" s="9" t="s">
        <v>217</v>
      </c>
      <c r="G7" s="9"/>
      <c r="H7" s="9" t="s">
        <v>218</v>
      </c>
      <c r="I7" s="14" t="n">
        <v>240</v>
      </c>
      <c r="J7" s="8" t="n">
        <v>45778</v>
      </c>
      <c r="K7" s="9" t="n">
        <f aca="true">DATEDIF(J7,TODAY(),"M")</f>
        <v>12</v>
      </c>
      <c r="L7" s="10" t="s">
        <v>27</v>
      </c>
      <c r="M7" s="9" t="s">
        <v>219</v>
      </c>
    </row>
  </sheetData>
  <mergeCells count="1">
    <mergeCell ref="A1:M1"/>
  </mergeCells>
  <dataValidations count="3">
    <dataValidation allowBlank="true" error="Selecione uma opção da lista." errorStyle="stop" errorTitle="Valor inválido" operator="between" showDropDown="false" showErrorMessage="true" showInputMessage="false" sqref="E3:E100" type="list">
      <formula1>Listas!$A$5:$A$20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L3:L100" type="list">
      <formula1>Listas!$L$5:$L$20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D3:D100" type="list">
      <formula1>Listas!$M$5:$M$20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9F27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36" hidden="false" customHeight="true" outlineLevel="0" collapsed="false">
      <c r="A1" s="15" t="s">
        <v>220</v>
      </c>
      <c r="B1" s="15"/>
      <c r="C1" s="15"/>
      <c r="D1" s="15"/>
      <c r="E1" s="15"/>
      <c r="F1" s="15"/>
      <c r="G1" s="15"/>
      <c r="H1" s="15"/>
      <c r="I1" s="15"/>
    </row>
    <row r="2" customFormat="false" ht="27.75" hidden="false" customHeight="true" outlineLevel="0" collapsed="false">
      <c r="A2" s="16" t="s">
        <v>221</v>
      </c>
      <c r="B2" s="16" t="s">
        <v>82</v>
      </c>
      <c r="C2" s="16" t="s">
        <v>222</v>
      </c>
      <c r="D2" s="16" t="s">
        <v>223</v>
      </c>
      <c r="E2" s="16" t="s">
        <v>200</v>
      </c>
      <c r="F2" s="16" t="s">
        <v>224</v>
      </c>
      <c r="G2" s="16" t="s">
        <v>225</v>
      </c>
      <c r="H2" s="16" t="s">
        <v>226</v>
      </c>
      <c r="I2" s="16" t="s">
        <v>227</v>
      </c>
    </row>
    <row r="3" customFormat="false" ht="19.5" hidden="false" customHeight="true" outlineLevel="0" collapsed="false">
      <c r="A3" s="9" t="s">
        <v>228</v>
      </c>
      <c r="B3" s="9" t="s">
        <v>93</v>
      </c>
      <c r="C3" s="14" t="n">
        <v>180</v>
      </c>
      <c r="D3" s="14" t="n">
        <v>180</v>
      </c>
      <c r="E3" s="10" t="s">
        <v>229</v>
      </c>
      <c r="F3" s="8" t="n">
        <v>45966</v>
      </c>
      <c r="G3" s="9" t="s">
        <v>26</v>
      </c>
      <c r="H3" s="9"/>
      <c r="I3" s="14" t="n">
        <f aca="false">D3-C3</f>
        <v>0</v>
      </c>
    </row>
    <row r="4" customFormat="false" ht="19.5" hidden="false" customHeight="true" outlineLevel="0" collapsed="false">
      <c r="A4" s="9" t="s">
        <v>230</v>
      </c>
      <c r="B4" s="9" t="s">
        <v>93</v>
      </c>
      <c r="C4" s="14" t="n">
        <v>180</v>
      </c>
      <c r="D4" s="14" t="n">
        <v>180</v>
      </c>
      <c r="E4" s="10" t="s">
        <v>229</v>
      </c>
      <c r="F4" s="8" t="n">
        <v>45994</v>
      </c>
      <c r="G4" s="9" t="s">
        <v>26</v>
      </c>
      <c r="H4" s="9"/>
      <c r="I4" s="14" t="n">
        <f aca="false">D4-C4</f>
        <v>0</v>
      </c>
    </row>
    <row r="5" customFormat="false" ht="19.5" hidden="false" customHeight="true" outlineLevel="0" collapsed="false">
      <c r="A5" s="9" t="s">
        <v>231</v>
      </c>
      <c r="B5" s="9" t="s">
        <v>93</v>
      </c>
      <c r="C5" s="14" t="n">
        <v>180</v>
      </c>
      <c r="D5" s="14" t="n">
        <v>180</v>
      </c>
      <c r="E5" s="10" t="s">
        <v>229</v>
      </c>
      <c r="F5" s="8" t="n">
        <v>46032</v>
      </c>
      <c r="G5" s="9" t="s">
        <v>26</v>
      </c>
      <c r="H5" s="9"/>
      <c r="I5" s="14" t="n">
        <f aca="false">D5-C5</f>
        <v>0</v>
      </c>
    </row>
    <row r="6" customFormat="false" ht="19.5" hidden="false" customHeight="true" outlineLevel="0" collapsed="false">
      <c r="A6" s="9" t="s">
        <v>232</v>
      </c>
      <c r="B6" s="9" t="s">
        <v>93</v>
      </c>
      <c r="C6" s="14" t="n">
        <v>180</v>
      </c>
      <c r="D6" s="14" t="n">
        <v>180</v>
      </c>
      <c r="E6" s="10" t="s">
        <v>229</v>
      </c>
      <c r="F6" s="8" t="n">
        <v>46060</v>
      </c>
      <c r="G6" s="9" t="s">
        <v>39</v>
      </c>
      <c r="H6" s="9"/>
      <c r="I6" s="14" t="n">
        <f aca="false">D6-C6</f>
        <v>0</v>
      </c>
    </row>
    <row r="7" customFormat="false" ht="19.5" hidden="false" customHeight="true" outlineLevel="0" collapsed="false">
      <c r="A7" s="9" t="s">
        <v>233</v>
      </c>
      <c r="B7" s="9" t="s">
        <v>93</v>
      </c>
      <c r="C7" s="14" t="n">
        <v>180</v>
      </c>
      <c r="D7" s="14" t="n">
        <v>180</v>
      </c>
      <c r="E7" s="10" t="s">
        <v>229</v>
      </c>
      <c r="F7" s="8" t="n">
        <v>46084</v>
      </c>
      <c r="G7" s="9" t="s">
        <v>26</v>
      </c>
      <c r="H7" s="9"/>
      <c r="I7" s="14" t="n">
        <f aca="false">D7-C7</f>
        <v>0</v>
      </c>
    </row>
    <row r="8" customFormat="false" ht="19.5" hidden="false" customHeight="true" outlineLevel="0" collapsed="false">
      <c r="A8" s="9" t="s">
        <v>234</v>
      </c>
      <c r="B8" s="9" t="s">
        <v>93</v>
      </c>
      <c r="C8" s="14" t="n">
        <v>180</v>
      </c>
      <c r="D8" s="14" t="n">
        <v>180</v>
      </c>
      <c r="E8" s="10" t="s">
        <v>229</v>
      </c>
      <c r="F8" s="8" t="n">
        <v>46119</v>
      </c>
      <c r="G8" s="9" t="s">
        <v>26</v>
      </c>
      <c r="H8" s="9"/>
      <c r="I8" s="14" t="n">
        <f aca="false">D8-C8</f>
        <v>0</v>
      </c>
    </row>
    <row r="9" customFormat="false" ht="19.5" hidden="false" customHeight="true" outlineLevel="0" collapsed="false">
      <c r="A9" s="9" t="s">
        <v>235</v>
      </c>
      <c r="B9" s="9" t="s">
        <v>93</v>
      </c>
      <c r="C9" s="14" t="n">
        <v>180</v>
      </c>
      <c r="D9" s="9"/>
      <c r="E9" s="11" t="s">
        <v>236</v>
      </c>
      <c r="F9" s="9"/>
      <c r="G9" s="9"/>
      <c r="H9" s="9"/>
      <c r="I9" s="14" t="n">
        <f aca="false">D9-C9</f>
        <v>-180</v>
      </c>
    </row>
    <row r="10" customFormat="false" ht="19.5" hidden="false" customHeight="true" outlineLevel="0" collapsed="false">
      <c r="A10" s="9" t="s">
        <v>237</v>
      </c>
      <c r="B10" s="9" t="s">
        <v>113</v>
      </c>
      <c r="C10" s="14" t="n">
        <v>200</v>
      </c>
      <c r="D10" s="14" t="n">
        <v>200</v>
      </c>
      <c r="E10" s="10" t="s">
        <v>229</v>
      </c>
      <c r="F10" s="8" t="n">
        <v>45843</v>
      </c>
      <c r="G10" s="9" t="s">
        <v>39</v>
      </c>
      <c r="H10" s="9"/>
      <c r="I10" s="14" t="n">
        <f aca="false">D10-C10</f>
        <v>0</v>
      </c>
    </row>
    <row r="11" customFormat="false" ht="19.5" hidden="false" customHeight="true" outlineLevel="0" collapsed="false">
      <c r="A11" s="9" t="s">
        <v>238</v>
      </c>
      <c r="B11" s="9" t="s">
        <v>113</v>
      </c>
      <c r="C11" s="14" t="n">
        <v>200</v>
      </c>
      <c r="D11" s="14" t="n">
        <v>200</v>
      </c>
      <c r="E11" s="10" t="s">
        <v>229</v>
      </c>
      <c r="F11" s="8" t="n">
        <v>45872</v>
      </c>
      <c r="G11" s="9" t="s">
        <v>26</v>
      </c>
      <c r="H11" s="9"/>
      <c r="I11" s="14" t="n">
        <f aca="false">D11-C11</f>
        <v>0</v>
      </c>
    </row>
    <row r="12" customFormat="false" ht="19.5" hidden="false" customHeight="true" outlineLevel="0" collapsed="false">
      <c r="A12" s="9" t="s">
        <v>239</v>
      </c>
      <c r="B12" s="9" t="s">
        <v>113</v>
      </c>
      <c r="C12" s="14" t="n">
        <v>200</v>
      </c>
      <c r="D12" s="14" t="n">
        <v>200</v>
      </c>
      <c r="E12" s="10" t="s">
        <v>229</v>
      </c>
      <c r="F12" s="8" t="n">
        <v>45905</v>
      </c>
      <c r="G12" s="9" t="s">
        <v>26</v>
      </c>
      <c r="H12" s="9"/>
      <c r="I12" s="14" t="n">
        <f aca="false">D12-C12</f>
        <v>0</v>
      </c>
    </row>
    <row r="13" customFormat="false" ht="19.5" hidden="false" customHeight="true" outlineLevel="0" collapsed="false">
      <c r="A13" s="9" t="s">
        <v>240</v>
      </c>
      <c r="B13" s="9" t="s">
        <v>113</v>
      </c>
      <c r="C13" s="14" t="n">
        <v>200</v>
      </c>
      <c r="D13" s="14" t="n">
        <v>200</v>
      </c>
      <c r="E13" s="10" t="s">
        <v>229</v>
      </c>
      <c r="F13" s="8" t="n">
        <v>45938</v>
      </c>
      <c r="G13" s="9" t="s">
        <v>26</v>
      </c>
      <c r="H13" s="9"/>
      <c r="I13" s="14" t="n">
        <f aca="false">D13-C13</f>
        <v>0</v>
      </c>
    </row>
    <row r="14" customFormat="false" ht="19.5" hidden="false" customHeight="true" outlineLevel="0" collapsed="false">
      <c r="A14" s="9" t="s">
        <v>228</v>
      </c>
      <c r="B14" s="9" t="s">
        <v>113</v>
      </c>
      <c r="C14" s="14" t="n">
        <v>200</v>
      </c>
      <c r="D14" s="14" t="n">
        <v>200</v>
      </c>
      <c r="E14" s="10" t="s">
        <v>229</v>
      </c>
      <c r="F14" s="8" t="n">
        <v>45969</v>
      </c>
      <c r="G14" s="9" t="s">
        <v>39</v>
      </c>
      <c r="H14" s="9"/>
      <c r="I14" s="14" t="n">
        <f aca="false">D14-C14</f>
        <v>0</v>
      </c>
    </row>
    <row r="15" customFormat="false" ht="19.5" hidden="false" customHeight="true" outlineLevel="0" collapsed="false">
      <c r="A15" s="9" t="s">
        <v>230</v>
      </c>
      <c r="B15" s="9" t="s">
        <v>113</v>
      </c>
      <c r="C15" s="14" t="n">
        <v>200</v>
      </c>
      <c r="D15" s="14" t="n">
        <v>200</v>
      </c>
      <c r="E15" s="10" t="s">
        <v>229</v>
      </c>
      <c r="F15" s="8" t="n">
        <v>46001</v>
      </c>
      <c r="G15" s="9" t="s">
        <v>26</v>
      </c>
      <c r="H15" s="9"/>
      <c r="I15" s="14" t="n">
        <f aca="false">D15-C15</f>
        <v>0</v>
      </c>
    </row>
    <row r="16" customFormat="false" ht="19.5" hidden="false" customHeight="true" outlineLevel="0" collapsed="false">
      <c r="A16" s="9" t="s">
        <v>231</v>
      </c>
      <c r="B16" s="9" t="s">
        <v>113</v>
      </c>
      <c r="C16" s="14" t="n">
        <v>200</v>
      </c>
      <c r="D16" s="14" t="n">
        <v>200</v>
      </c>
      <c r="E16" s="10" t="s">
        <v>229</v>
      </c>
      <c r="F16" s="8" t="n">
        <v>46032</v>
      </c>
      <c r="G16" s="9" t="s">
        <v>26</v>
      </c>
      <c r="H16" s="9"/>
      <c r="I16" s="14" t="n">
        <f aca="false">D16-C16</f>
        <v>0</v>
      </c>
    </row>
    <row r="17" customFormat="false" ht="19.5" hidden="false" customHeight="true" outlineLevel="0" collapsed="false">
      <c r="A17" s="9" t="s">
        <v>232</v>
      </c>
      <c r="B17" s="9" t="s">
        <v>113</v>
      </c>
      <c r="C17" s="14" t="n">
        <v>200</v>
      </c>
      <c r="D17" s="14" t="n">
        <v>200</v>
      </c>
      <c r="E17" s="10" t="s">
        <v>229</v>
      </c>
      <c r="F17" s="8" t="n">
        <v>46061</v>
      </c>
      <c r="G17" s="9" t="s">
        <v>39</v>
      </c>
      <c r="H17" s="9"/>
      <c r="I17" s="14" t="n">
        <f aca="false">D17-C17</f>
        <v>0</v>
      </c>
    </row>
    <row r="18" customFormat="false" ht="19.5" hidden="false" customHeight="true" outlineLevel="0" collapsed="false">
      <c r="A18" s="9" t="s">
        <v>233</v>
      </c>
      <c r="B18" s="9" t="s">
        <v>113</v>
      </c>
      <c r="C18" s="14" t="n">
        <v>200</v>
      </c>
      <c r="D18" s="14" t="n">
        <v>200</v>
      </c>
      <c r="E18" s="10" t="s">
        <v>229</v>
      </c>
      <c r="F18" s="8" t="n">
        <v>46091</v>
      </c>
      <c r="G18" s="9" t="s">
        <v>39</v>
      </c>
      <c r="H18" s="9"/>
      <c r="I18" s="14" t="n">
        <f aca="false">D18-C18</f>
        <v>0</v>
      </c>
    </row>
    <row r="19" customFormat="false" ht="19.5" hidden="false" customHeight="true" outlineLevel="0" collapsed="false">
      <c r="A19" s="9" t="s">
        <v>234</v>
      </c>
      <c r="B19" s="9" t="s">
        <v>113</v>
      </c>
      <c r="C19" s="14" t="n">
        <v>200</v>
      </c>
      <c r="D19" s="14" t="n">
        <v>200</v>
      </c>
      <c r="E19" s="10" t="s">
        <v>229</v>
      </c>
      <c r="F19" s="8" t="n">
        <v>46119</v>
      </c>
      <c r="G19" s="9" t="s">
        <v>26</v>
      </c>
      <c r="H19" s="9"/>
      <c r="I19" s="14" t="n">
        <f aca="false">D19-C19</f>
        <v>0</v>
      </c>
    </row>
    <row r="20" customFormat="false" ht="19.5" hidden="false" customHeight="true" outlineLevel="0" collapsed="false">
      <c r="A20" s="9" t="s">
        <v>235</v>
      </c>
      <c r="B20" s="9" t="s">
        <v>113</v>
      </c>
      <c r="C20" s="14" t="n">
        <v>200</v>
      </c>
      <c r="D20" s="9"/>
      <c r="E20" s="11" t="s">
        <v>236</v>
      </c>
      <c r="F20" s="9"/>
      <c r="G20" s="9"/>
      <c r="H20" s="9"/>
      <c r="I20" s="14" t="n">
        <f aca="false">D20-C20</f>
        <v>-200</v>
      </c>
    </row>
    <row r="21" customFormat="false" ht="19.5" hidden="false" customHeight="true" outlineLevel="0" collapsed="false">
      <c r="A21" s="9" t="s">
        <v>241</v>
      </c>
      <c r="B21" s="9" t="s">
        <v>134</v>
      </c>
      <c r="C21" s="14" t="n">
        <v>220</v>
      </c>
      <c r="D21" s="14" t="n">
        <v>220</v>
      </c>
      <c r="E21" s="10" t="s">
        <v>229</v>
      </c>
      <c r="F21" s="8" t="n">
        <v>45601</v>
      </c>
      <c r="G21" s="9" t="s">
        <v>26</v>
      </c>
      <c r="H21" s="9"/>
      <c r="I21" s="14" t="n">
        <f aca="false">D21-C21</f>
        <v>0</v>
      </c>
    </row>
    <row r="22" customFormat="false" ht="19.5" hidden="false" customHeight="true" outlineLevel="0" collapsed="false">
      <c r="A22" s="9" t="s">
        <v>242</v>
      </c>
      <c r="B22" s="9" t="s">
        <v>134</v>
      </c>
      <c r="C22" s="14" t="n">
        <v>220</v>
      </c>
      <c r="D22" s="14" t="n">
        <v>220</v>
      </c>
      <c r="E22" s="10" t="s">
        <v>229</v>
      </c>
      <c r="F22" s="8" t="n">
        <v>45633</v>
      </c>
      <c r="G22" s="9" t="s">
        <v>26</v>
      </c>
      <c r="H22" s="9"/>
      <c r="I22" s="14" t="n">
        <f aca="false">D22-C22</f>
        <v>0</v>
      </c>
    </row>
    <row r="23" customFormat="false" ht="19.5" hidden="false" customHeight="true" outlineLevel="0" collapsed="false">
      <c r="A23" s="9" t="s">
        <v>243</v>
      </c>
      <c r="B23" s="9" t="s">
        <v>134</v>
      </c>
      <c r="C23" s="14" t="n">
        <v>220</v>
      </c>
      <c r="D23" s="14" t="n">
        <v>220</v>
      </c>
      <c r="E23" s="10" t="s">
        <v>229</v>
      </c>
      <c r="F23" s="8" t="n">
        <v>45664</v>
      </c>
      <c r="G23" s="9" t="s">
        <v>39</v>
      </c>
      <c r="H23" s="9"/>
      <c r="I23" s="14" t="n">
        <f aca="false">D23-C23</f>
        <v>0</v>
      </c>
    </row>
    <row r="24" customFormat="false" ht="19.5" hidden="false" customHeight="true" outlineLevel="0" collapsed="false">
      <c r="A24" s="9" t="s">
        <v>244</v>
      </c>
      <c r="B24" s="9" t="s">
        <v>134</v>
      </c>
      <c r="C24" s="14" t="n">
        <v>220</v>
      </c>
      <c r="D24" s="14" t="n">
        <v>220</v>
      </c>
      <c r="E24" s="10" t="s">
        <v>229</v>
      </c>
      <c r="F24" s="8" t="n">
        <v>45696</v>
      </c>
      <c r="G24" s="9" t="s">
        <v>26</v>
      </c>
      <c r="H24" s="9"/>
      <c r="I24" s="14" t="n">
        <f aca="false">D24-C24</f>
        <v>0</v>
      </c>
    </row>
    <row r="25" customFormat="false" ht="19.5" hidden="false" customHeight="true" outlineLevel="0" collapsed="false">
      <c r="A25" s="9" t="s">
        <v>245</v>
      </c>
      <c r="B25" s="9" t="s">
        <v>134</v>
      </c>
      <c r="C25" s="14" t="n">
        <v>220</v>
      </c>
      <c r="D25" s="14" t="n">
        <v>220</v>
      </c>
      <c r="E25" s="10" t="s">
        <v>229</v>
      </c>
      <c r="F25" s="8" t="n">
        <v>45721</v>
      </c>
      <c r="G25" s="9" t="s">
        <v>26</v>
      </c>
      <c r="H25" s="9"/>
      <c r="I25" s="14" t="n">
        <f aca="false">D25-C25</f>
        <v>0</v>
      </c>
    </row>
    <row r="26" customFormat="false" ht="19.5" hidden="false" customHeight="true" outlineLevel="0" collapsed="false">
      <c r="A26" s="9" t="s">
        <v>246</v>
      </c>
      <c r="B26" s="9" t="s">
        <v>134</v>
      </c>
      <c r="C26" s="14" t="n">
        <v>220</v>
      </c>
      <c r="D26" s="14" t="n">
        <v>220</v>
      </c>
      <c r="E26" s="10" t="s">
        <v>229</v>
      </c>
      <c r="F26" s="8" t="n">
        <v>45752</v>
      </c>
      <c r="G26" s="9" t="s">
        <v>26</v>
      </c>
      <c r="H26" s="9"/>
      <c r="I26" s="14" t="n">
        <f aca="false">D26-C26</f>
        <v>0</v>
      </c>
    </row>
    <row r="27" customFormat="false" ht="19.5" hidden="false" customHeight="true" outlineLevel="0" collapsed="false">
      <c r="A27" s="9" t="s">
        <v>247</v>
      </c>
      <c r="B27" s="9" t="s">
        <v>134</v>
      </c>
      <c r="C27" s="14" t="n">
        <v>220</v>
      </c>
      <c r="D27" s="14" t="n">
        <v>220</v>
      </c>
      <c r="E27" s="10" t="s">
        <v>229</v>
      </c>
      <c r="F27" s="8" t="n">
        <v>45785</v>
      </c>
      <c r="G27" s="9" t="s">
        <v>26</v>
      </c>
      <c r="H27" s="9"/>
      <c r="I27" s="14" t="n">
        <f aca="false">D27-C27</f>
        <v>0</v>
      </c>
    </row>
    <row r="28" customFormat="false" ht="19.5" hidden="false" customHeight="true" outlineLevel="0" collapsed="false">
      <c r="A28" s="9" t="s">
        <v>248</v>
      </c>
      <c r="B28" s="9" t="s">
        <v>134</v>
      </c>
      <c r="C28" s="14" t="n">
        <v>220</v>
      </c>
      <c r="D28" s="14" t="n">
        <v>220</v>
      </c>
      <c r="E28" s="10" t="s">
        <v>229</v>
      </c>
      <c r="F28" s="8" t="n">
        <v>45815</v>
      </c>
      <c r="G28" s="9" t="s">
        <v>39</v>
      </c>
      <c r="H28" s="9"/>
      <c r="I28" s="14" t="n">
        <f aca="false">D28-C28</f>
        <v>0</v>
      </c>
    </row>
    <row r="29" customFormat="false" ht="19.5" hidden="false" customHeight="true" outlineLevel="0" collapsed="false">
      <c r="A29" s="9" t="s">
        <v>237</v>
      </c>
      <c r="B29" s="9" t="s">
        <v>134</v>
      </c>
      <c r="C29" s="14" t="n">
        <v>220</v>
      </c>
      <c r="D29" s="14" t="n">
        <v>220</v>
      </c>
      <c r="E29" s="10" t="s">
        <v>229</v>
      </c>
      <c r="F29" s="8" t="n">
        <v>45848</v>
      </c>
      <c r="G29" s="9" t="s">
        <v>39</v>
      </c>
      <c r="H29" s="9"/>
      <c r="I29" s="14" t="n">
        <f aca="false">D29-C29</f>
        <v>0</v>
      </c>
    </row>
    <row r="30" customFormat="false" ht="19.5" hidden="false" customHeight="true" outlineLevel="0" collapsed="false">
      <c r="A30" s="9" t="s">
        <v>238</v>
      </c>
      <c r="B30" s="9" t="s">
        <v>134</v>
      </c>
      <c r="C30" s="14" t="n">
        <v>220</v>
      </c>
      <c r="D30" s="14" t="n">
        <v>220</v>
      </c>
      <c r="E30" s="10" t="s">
        <v>229</v>
      </c>
      <c r="F30" s="8" t="n">
        <v>45877</v>
      </c>
      <c r="G30" s="9" t="s">
        <v>26</v>
      </c>
      <c r="H30" s="9"/>
      <c r="I30" s="14" t="n">
        <f aca="false">D30-C30</f>
        <v>0</v>
      </c>
    </row>
    <row r="31" customFormat="false" ht="19.5" hidden="false" customHeight="true" outlineLevel="0" collapsed="false">
      <c r="A31" s="9" t="s">
        <v>239</v>
      </c>
      <c r="B31" s="9" t="s">
        <v>134</v>
      </c>
      <c r="C31" s="14" t="n">
        <v>220</v>
      </c>
      <c r="D31" s="14" t="n">
        <v>220</v>
      </c>
      <c r="E31" s="10" t="s">
        <v>229</v>
      </c>
      <c r="F31" s="8" t="n">
        <v>45908</v>
      </c>
      <c r="G31" s="9" t="s">
        <v>26</v>
      </c>
      <c r="H31" s="9"/>
      <c r="I31" s="14" t="n">
        <f aca="false">D31-C31</f>
        <v>0</v>
      </c>
    </row>
    <row r="32" customFormat="false" ht="19.5" hidden="false" customHeight="true" outlineLevel="0" collapsed="false">
      <c r="A32" s="9" t="s">
        <v>240</v>
      </c>
      <c r="B32" s="9" t="s">
        <v>134</v>
      </c>
      <c r="C32" s="14" t="n">
        <v>220</v>
      </c>
      <c r="D32" s="14" t="n">
        <v>220</v>
      </c>
      <c r="E32" s="10" t="s">
        <v>229</v>
      </c>
      <c r="F32" s="8" t="n">
        <v>45938</v>
      </c>
      <c r="G32" s="9" t="s">
        <v>39</v>
      </c>
      <c r="H32" s="9"/>
      <c r="I32" s="14" t="n">
        <f aca="false">D32-C32</f>
        <v>0</v>
      </c>
    </row>
    <row r="33" customFormat="false" ht="19.5" hidden="false" customHeight="true" outlineLevel="0" collapsed="false">
      <c r="A33" s="9" t="s">
        <v>228</v>
      </c>
      <c r="B33" s="9" t="s">
        <v>134</v>
      </c>
      <c r="C33" s="14" t="n">
        <v>220</v>
      </c>
      <c r="D33" s="14" t="n">
        <v>220</v>
      </c>
      <c r="E33" s="10" t="s">
        <v>229</v>
      </c>
      <c r="F33" s="8" t="n">
        <v>45968</v>
      </c>
      <c r="G33" s="9" t="s">
        <v>39</v>
      </c>
      <c r="H33" s="9"/>
      <c r="I33" s="14" t="n">
        <f aca="false">D33-C33</f>
        <v>0</v>
      </c>
    </row>
    <row r="34" customFormat="false" ht="19.5" hidden="false" customHeight="true" outlineLevel="0" collapsed="false">
      <c r="A34" s="9" t="s">
        <v>230</v>
      </c>
      <c r="B34" s="9" t="s">
        <v>134</v>
      </c>
      <c r="C34" s="14" t="n">
        <v>220</v>
      </c>
      <c r="D34" s="14" t="n">
        <v>220</v>
      </c>
      <c r="E34" s="10" t="s">
        <v>229</v>
      </c>
      <c r="F34" s="8" t="n">
        <v>45999</v>
      </c>
      <c r="G34" s="9" t="s">
        <v>26</v>
      </c>
      <c r="H34" s="9"/>
      <c r="I34" s="14" t="n">
        <f aca="false">D34-C34</f>
        <v>0</v>
      </c>
    </row>
    <row r="35" customFormat="false" ht="19.5" hidden="false" customHeight="true" outlineLevel="0" collapsed="false">
      <c r="A35" s="9" t="s">
        <v>231</v>
      </c>
      <c r="B35" s="9" t="s">
        <v>134</v>
      </c>
      <c r="C35" s="14" t="n">
        <v>220</v>
      </c>
      <c r="D35" s="14" t="n">
        <v>220</v>
      </c>
      <c r="E35" s="10" t="s">
        <v>229</v>
      </c>
      <c r="F35" s="8" t="n">
        <v>46032</v>
      </c>
      <c r="G35" s="9" t="s">
        <v>26</v>
      </c>
      <c r="H35" s="9"/>
      <c r="I35" s="14" t="n">
        <f aca="false">D35-C35</f>
        <v>0</v>
      </c>
    </row>
    <row r="36" customFormat="false" ht="19.5" hidden="false" customHeight="true" outlineLevel="0" collapsed="false">
      <c r="A36" s="9" t="s">
        <v>232</v>
      </c>
      <c r="B36" s="9" t="s">
        <v>134</v>
      </c>
      <c r="C36" s="14" t="n">
        <v>220</v>
      </c>
      <c r="D36" s="14" t="n">
        <v>220</v>
      </c>
      <c r="E36" s="10" t="s">
        <v>229</v>
      </c>
      <c r="F36" s="8" t="n">
        <v>46063</v>
      </c>
      <c r="G36" s="9" t="s">
        <v>26</v>
      </c>
      <c r="H36" s="9"/>
      <c r="I36" s="14" t="n">
        <f aca="false">D36-C36</f>
        <v>0</v>
      </c>
    </row>
    <row r="37" customFormat="false" ht="19.5" hidden="false" customHeight="true" outlineLevel="0" collapsed="false">
      <c r="A37" s="9" t="s">
        <v>233</v>
      </c>
      <c r="B37" s="9" t="s">
        <v>134</v>
      </c>
      <c r="C37" s="14" t="n">
        <v>220</v>
      </c>
      <c r="D37" s="14" t="n">
        <v>220</v>
      </c>
      <c r="E37" s="10" t="s">
        <v>229</v>
      </c>
      <c r="F37" s="8" t="n">
        <v>46091</v>
      </c>
      <c r="G37" s="9" t="s">
        <v>26</v>
      </c>
      <c r="H37" s="9"/>
      <c r="I37" s="14" t="n">
        <f aca="false">D37-C37</f>
        <v>0</v>
      </c>
    </row>
    <row r="38" customFormat="false" ht="19.5" hidden="false" customHeight="true" outlineLevel="0" collapsed="false">
      <c r="A38" s="9" t="s">
        <v>234</v>
      </c>
      <c r="B38" s="9" t="s">
        <v>134</v>
      </c>
      <c r="C38" s="14" t="n">
        <v>220</v>
      </c>
      <c r="D38" s="9"/>
      <c r="E38" s="11" t="s">
        <v>236</v>
      </c>
      <c r="F38" s="9"/>
      <c r="G38" s="9"/>
      <c r="H38" s="9" t="s">
        <v>249</v>
      </c>
      <c r="I38" s="14" t="n">
        <f aca="false">D38-C38</f>
        <v>-220</v>
      </c>
    </row>
    <row r="39" customFormat="false" ht="19.5" hidden="false" customHeight="true" outlineLevel="0" collapsed="false">
      <c r="A39" s="9" t="s">
        <v>235</v>
      </c>
      <c r="B39" s="9" t="s">
        <v>134</v>
      </c>
      <c r="C39" s="14" t="n">
        <v>220</v>
      </c>
      <c r="D39" s="9"/>
      <c r="E39" s="11" t="s">
        <v>236</v>
      </c>
      <c r="F39" s="9"/>
      <c r="G39" s="9"/>
      <c r="H39" s="9"/>
      <c r="I39" s="14" t="n">
        <f aca="false">D39-C39</f>
        <v>-220</v>
      </c>
    </row>
    <row r="40" customFormat="false" ht="19.5" hidden="false" customHeight="true" outlineLevel="0" collapsed="false">
      <c r="A40" s="9" t="s">
        <v>231</v>
      </c>
      <c r="B40" s="9" t="s">
        <v>154</v>
      </c>
      <c r="C40" s="14" t="n">
        <v>150</v>
      </c>
      <c r="D40" s="14" t="n">
        <v>150</v>
      </c>
      <c r="E40" s="10" t="s">
        <v>229</v>
      </c>
      <c r="F40" s="8" t="n">
        <v>46029</v>
      </c>
      <c r="G40" s="9" t="s">
        <v>26</v>
      </c>
      <c r="H40" s="9"/>
      <c r="I40" s="14" t="n">
        <f aca="false">D40-C40</f>
        <v>0</v>
      </c>
    </row>
    <row r="41" customFormat="false" ht="19.5" hidden="false" customHeight="true" outlineLevel="0" collapsed="false">
      <c r="A41" s="9" t="s">
        <v>232</v>
      </c>
      <c r="B41" s="9" t="s">
        <v>154</v>
      </c>
      <c r="C41" s="14" t="n">
        <v>150</v>
      </c>
      <c r="D41" s="14" t="n">
        <v>150</v>
      </c>
      <c r="E41" s="10" t="s">
        <v>229</v>
      </c>
      <c r="F41" s="8" t="n">
        <v>46063</v>
      </c>
      <c r="G41" s="9" t="s">
        <v>39</v>
      </c>
      <c r="H41" s="9"/>
      <c r="I41" s="14" t="n">
        <f aca="false">D41-C41</f>
        <v>0</v>
      </c>
    </row>
    <row r="42" customFormat="false" ht="19.5" hidden="false" customHeight="true" outlineLevel="0" collapsed="false">
      <c r="A42" s="9" t="s">
        <v>233</v>
      </c>
      <c r="B42" s="9" t="s">
        <v>154</v>
      </c>
      <c r="C42" s="14" t="n">
        <v>150</v>
      </c>
      <c r="D42" s="14" t="n">
        <v>150</v>
      </c>
      <c r="E42" s="10" t="s">
        <v>229</v>
      </c>
      <c r="F42" s="8" t="n">
        <v>46089</v>
      </c>
      <c r="G42" s="9" t="s">
        <v>26</v>
      </c>
      <c r="H42" s="9"/>
      <c r="I42" s="14" t="n">
        <f aca="false">D42-C42</f>
        <v>0</v>
      </c>
    </row>
    <row r="43" customFormat="false" ht="19.5" hidden="false" customHeight="true" outlineLevel="0" collapsed="false">
      <c r="A43" s="9" t="s">
        <v>234</v>
      </c>
      <c r="B43" s="9" t="s">
        <v>154</v>
      </c>
      <c r="C43" s="14" t="n">
        <v>150</v>
      </c>
      <c r="D43" s="14" t="n">
        <v>150</v>
      </c>
      <c r="E43" s="10" t="s">
        <v>229</v>
      </c>
      <c r="F43" s="8" t="n">
        <v>46115</v>
      </c>
      <c r="G43" s="9" t="s">
        <v>26</v>
      </c>
      <c r="H43" s="9"/>
      <c r="I43" s="14" t="n">
        <f aca="false">D43-C43</f>
        <v>0</v>
      </c>
    </row>
    <row r="44" customFormat="false" ht="19.5" hidden="false" customHeight="true" outlineLevel="0" collapsed="false">
      <c r="A44" s="9" t="s">
        <v>235</v>
      </c>
      <c r="B44" s="9" t="s">
        <v>154</v>
      </c>
      <c r="C44" s="14" t="n">
        <v>150</v>
      </c>
      <c r="D44" s="9"/>
      <c r="E44" s="11" t="s">
        <v>236</v>
      </c>
      <c r="F44" s="9"/>
      <c r="G44" s="9"/>
      <c r="H44" s="9"/>
      <c r="I44" s="14" t="n">
        <f aca="false">D44-C44</f>
        <v>-150</v>
      </c>
    </row>
    <row r="45" customFormat="false" ht="19.5" hidden="false" customHeight="true" outlineLevel="0" collapsed="false">
      <c r="A45" s="9" t="s">
        <v>247</v>
      </c>
      <c r="B45" s="9" t="s">
        <v>167</v>
      </c>
      <c r="C45" s="14" t="n">
        <v>240</v>
      </c>
      <c r="D45" s="14" t="n">
        <v>240</v>
      </c>
      <c r="E45" s="10" t="s">
        <v>229</v>
      </c>
      <c r="F45" s="8" t="n">
        <v>45780</v>
      </c>
      <c r="G45" s="9" t="s">
        <v>26</v>
      </c>
      <c r="H45" s="9"/>
      <c r="I45" s="14" t="n">
        <f aca="false">D45-C45</f>
        <v>0</v>
      </c>
    </row>
    <row r="46" customFormat="false" ht="19.5" hidden="false" customHeight="true" outlineLevel="0" collapsed="false">
      <c r="A46" s="9" t="s">
        <v>248</v>
      </c>
      <c r="B46" s="9" t="s">
        <v>167</v>
      </c>
      <c r="C46" s="14" t="n">
        <v>240</v>
      </c>
      <c r="D46" s="14" t="n">
        <v>240</v>
      </c>
      <c r="E46" s="10" t="s">
        <v>229</v>
      </c>
      <c r="F46" s="8" t="n">
        <v>45818</v>
      </c>
      <c r="G46" s="9" t="s">
        <v>26</v>
      </c>
      <c r="H46" s="9"/>
      <c r="I46" s="14" t="n">
        <f aca="false">D46-C46</f>
        <v>0</v>
      </c>
    </row>
    <row r="47" customFormat="false" ht="19.5" hidden="false" customHeight="true" outlineLevel="0" collapsed="false">
      <c r="A47" s="9" t="s">
        <v>237</v>
      </c>
      <c r="B47" s="9" t="s">
        <v>167</v>
      </c>
      <c r="C47" s="14" t="n">
        <v>240</v>
      </c>
      <c r="D47" s="14" t="n">
        <v>240</v>
      </c>
      <c r="E47" s="10" t="s">
        <v>229</v>
      </c>
      <c r="F47" s="8" t="n">
        <v>45845</v>
      </c>
      <c r="G47" s="9" t="s">
        <v>39</v>
      </c>
      <c r="H47" s="9"/>
      <c r="I47" s="14" t="n">
        <f aca="false">D47-C47</f>
        <v>0</v>
      </c>
    </row>
    <row r="48" customFormat="false" ht="19.5" hidden="false" customHeight="true" outlineLevel="0" collapsed="false">
      <c r="A48" s="9" t="s">
        <v>238</v>
      </c>
      <c r="B48" s="9" t="s">
        <v>167</v>
      </c>
      <c r="C48" s="14" t="n">
        <v>240</v>
      </c>
      <c r="D48" s="14" t="n">
        <v>240</v>
      </c>
      <c r="E48" s="10" t="s">
        <v>229</v>
      </c>
      <c r="F48" s="8" t="n">
        <v>45879</v>
      </c>
      <c r="G48" s="9" t="s">
        <v>26</v>
      </c>
      <c r="H48" s="9"/>
      <c r="I48" s="14" t="n">
        <f aca="false">D48-C48</f>
        <v>0</v>
      </c>
    </row>
    <row r="49" customFormat="false" ht="19.5" hidden="false" customHeight="true" outlineLevel="0" collapsed="false">
      <c r="A49" s="9" t="s">
        <v>239</v>
      </c>
      <c r="B49" s="9" t="s">
        <v>167</v>
      </c>
      <c r="C49" s="14" t="n">
        <v>240</v>
      </c>
      <c r="D49" s="14" t="n">
        <v>240</v>
      </c>
      <c r="E49" s="10" t="s">
        <v>229</v>
      </c>
      <c r="F49" s="8" t="n">
        <v>45908</v>
      </c>
      <c r="G49" s="9" t="s">
        <v>26</v>
      </c>
      <c r="H49" s="9"/>
      <c r="I49" s="14" t="n">
        <f aca="false">D49-C49</f>
        <v>0</v>
      </c>
    </row>
    <row r="50" customFormat="false" ht="19.5" hidden="false" customHeight="true" outlineLevel="0" collapsed="false">
      <c r="A50" s="9" t="s">
        <v>240</v>
      </c>
      <c r="B50" s="9" t="s">
        <v>167</v>
      </c>
      <c r="C50" s="14" t="n">
        <v>240</v>
      </c>
      <c r="D50" s="14" t="n">
        <v>240</v>
      </c>
      <c r="E50" s="10" t="s">
        <v>229</v>
      </c>
      <c r="F50" s="8" t="n">
        <v>45940</v>
      </c>
      <c r="G50" s="9" t="s">
        <v>39</v>
      </c>
      <c r="H50" s="9"/>
      <c r="I50" s="14" t="n">
        <f aca="false">D50-C50</f>
        <v>0</v>
      </c>
    </row>
    <row r="51" customFormat="false" ht="19.5" hidden="false" customHeight="true" outlineLevel="0" collapsed="false">
      <c r="A51" s="9" t="s">
        <v>228</v>
      </c>
      <c r="B51" s="9" t="s">
        <v>167</v>
      </c>
      <c r="C51" s="14" t="n">
        <v>240</v>
      </c>
      <c r="D51" s="14" t="n">
        <v>240</v>
      </c>
      <c r="E51" s="10" t="s">
        <v>229</v>
      </c>
      <c r="F51" s="8" t="n">
        <v>45971</v>
      </c>
      <c r="G51" s="9" t="s">
        <v>26</v>
      </c>
      <c r="H51" s="9"/>
      <c r="I51" s="14" t="n">
        <f aca="false">D51-C51</f>
        <v>0</v>
      </c>
    </row>
    <row r="52" customFormat="false" ht="19.5" hidden="false" customHeight="true" outlineLevel="0" collapsed="false">
      <c r="A52" s="9" t="s">
        <v>230</v>
      </c>
      <c r="B52" s="9" t="s">
        <v>167</v>
      </c>
      <c r="C52" s="14" t="n">
        <v>240</v>
      </c>
      <c r="D52" s="14" t="n">
        <v>240</v>
      </c>
      <c r="E52" s="10" t="s">
        <v>229</v>
      </c>
      <c r="F52" s="8" t="n">
        <v>46001</v>
      </c>
      <c r="G52" s="9" t="s">
        <v>26</v>
      </c>
      <c r="H52" s="9"/>
      <c r="I52" s="14" t="n">
        <f aca="false">D52-C52</f>
        <v>0</v>
      </c>
    </row>
    <row r="53" customFormat="false" ht="19.5" hidden="false" customHeight="true" outlineLevel="0" collapsed="false">
      <c r="A53" s="9" t="s">
        <v>231</v>
      </c>
      <c r="B53" s="9" t="s">
        <v>167</v>
      </c>
      <c r="C53" s="14" t="n">
        <v>240</v>
      </c>
      <c r="D53" s="14" t="n">
        <v>240</v>
      </c>
      <c r="E53" s="10" t="s">
        <v>229</v>
      </c>
      <c r="F53" s="8" t="n">
        <v>46030</v>
      </c>
      <c r="G53" s="9" t="s">
        <v>26</v>
      </c>
      <c r="H53" s="9"/>
      <c r="I53" s="14" t="n">
        <f aca="false">D53-C53</f>
        <v>0</v>
      </c>
    </row>
    <row r="54" customFormat="false" ht="19.5" hidden="false" customHeight="true" outlineLevel="0" collapsed="false">
      <c r="A54" s="9" t="s">
        <v>232</v>
      </c>
      <c r="B54" s="9" t="s">
        <v>167</v>
      </c>
      <c r="C54" s="14" t="n">
        <v>240</v>
      </c>
      <c r="D54" s="14" t="n">
        <v>240</v>
      </c>
      <c r="E54" s="10" t="s">
        <v>229</v>
      </c>
      <c r="F54" s="8" t="n">
        <v>46063</v>
      </c>
      <c r="G54" s="9" t="s">
        <v>26</v>
      </c>
      <c r="H54" s="9"/>
      <c r="I54" s="14" t="n">
        <f aca="false">D54-C54</f>
        <v>0</v>
      </c>
    </row>
    <row r="55" customFormat="false" ht="19.5" hidden="false" customHeight="true" outlineLevel="0" collapsed="false">
      <c r="A55" s="9" t="s">
        <v>233</v>
      </c>
      <c r="B55" s="9" t="s">
        <v>167</v>
      </c>
      <c r="C55" s="14" t="n">
        <v>240</v>
      </c>
      <c r="D55" s="14" t="n">
        <v>240</v>
      </c>
      <c r="E55" s="10" t="s">
        <v>229</v>
      </c>
      <c r="F55" s="8" t="n">
        <v>46091</v>
      </c>
      <c r="G55" s="9" t="s">
        <v>26</v>
      </c>
      <c r="H55" s="9"/>
      <c r="I55" s="14" t="n">
        <f aca="false">D55-C55</f>
        <v>0</v>
      </c>
    </row>
    <row r="56" customFormat="false" ht="19.5" hidden="false" customHeight="true" outlineLevel="0" collapsed="false">
      <c r="A56" s="9" t="s">
        <v>234</v>
      </c>
      <c r="B56" s="9" t="s">
        <v>167</v>
      </c>
      <c r="C56" s="14" t="n">
        <v>240</v>
      </c>
      <c r="D56" s="14" t="n">
        <v>240</v>
      </c>
      <c r="E56" s="10" t="s">
        <v>229</v>
      </c>
      <c r="F56" s="8" t="n">
        <v>46115</v>
      </c>
      <c r="G56" s="9" t="s">
        <v>26</v>
      </c>
      <c r="H56" s="9"/>
      <c r="I56" s="14" t="n">
        <f aca="false">D56-C56</f>
        <v>0</v>
      </c>
    </row>
    <row r="57" customFormat="false" ht="19.5" hidden="false" customHeight="true" outlineLevel="0" collapsed="false">
      <c r="A57" s="9" t="s">
        <v>235</v>
      </c>
      <c r="B57" s="9" t="s">
        <v>167</v>
      </c>
      <c r="C57" s="14" t="n">
        <v>240</v>
      </c>
      <c r="D57" s="9"/>
      <c r="E57" s="11" t="s">
        <v>236</v>
      </c>
      <c r="F57" s="9"/>
      <c r="G57" s="9"/>
      <c r="H57" s="9"/>
      <c r="I57" s="14" t="n">
        <f aca="false">D57-C57</f>
        <v>-240</v>
      </c>
    </row>
  </sheetData>
  <mergeCells count="1">
    <mergeCell ref="A1:I1"/>
  </mergeCells>
  <dataValidations count="3">
    <dataValidation allowBlank="true" error="Selecione uma opção da lista." errorStyle="stop" errorTitle="Valor inválido" operator="between" showDropDown="false" showErrorMessage="true" showInputMessage="false" sqref="B3:B500" type="list">
      <formula1>Alunos!$B$3:$B$7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E3:E500" type="list">
      <formula1>"Pago,Pendente,Inadimplente"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G3:G500" type="list">
      <formula1>Listas!$K$5:$K$20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CAA5"/>
    <pageSetUpPr fitToPage="false"/>
  </sheetPr>
  <dimension ref="A1:P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9" min="7" style="0" width="18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4" min="12" style="0" width="2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6" hidden="false" customHeight="true" outlineLevel="0" collapsed="false">
      <c r="A1" s="6" t="s">
        <v>250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27.75" hidden="false" customHeight="true" outlineLevel="0" collapsed="false">
      <c r="A2" s="7" t="s">
        <v>82</v>
      </c>
      <c r="B2" s="7" t="s">
        <v>251</v>
      </c>
      <c r="C2" s="7" t="s">
        <v>252</v>
      </c>
      <c r="D2" s="7" t="s">
        <v>253</v>
      </c>
      <c r="E2" s="7" t="s">
        <v>254</v>
      </c>
      <c r="F2" s="7" t="s">
        <v>255</v>
      </c>
      <c r="G2" s="7" t="s">
        <v>256</v>
      </c>
      <c r="H2" s="7" t="s">
        <v>257</v>
      </c>
      <c r="I2" s="7" t="s">
        <v>258</v>
      </c>
      <c r="J2" s="7" t="s">
        <v>259</v>
      </c>
      <c r="K2" s="7" t="s">
        <v>260</v>
      </c>
      <c r="L2" s="7" t="s">
        <v>261</v>
      </c>
      <c r="M2" s="7" t="s">
        <v>262</v>
      </c>
      <c r="N2" s="7" t="s">
        <v>263</v>
      </c>
      <c r="O2" s="7" t="s">
        <v>264</v>
      </c>
      <c r="P2" s="7" t="s">
        <v>265</v>
      </c>
    </row>
    <row r="3" customFormat="false" ht="19.5" hidden="false" customHeight="true" outlineLevel="0" collapsed="false">
      <c r="A3" s="9" t="s">
        <v>93</v>
      </c>
      <c r="B3" s="9" t="s">
        <v>16</v>
      </c>
      <c r="C3" s="11" t="s">
        <v>30</v>
      </c>
      <c r="D3" s="17" t="n">
        <v>0.25</v>
      </c>
      <c r="E3" s="9" t="s">
        <v>22</v>
      </c>
      <c r="F3" s="9" t="s">
        <v>266</v>
      </c>
      <c r="G3" s="10" t="s">
        <v>46</v>
      </c>
      <c r="H3" s="11" t="s">
        <v>33</v>
      </c>
      <c r="I3" s="18" t="s">
        <v>20</v>
      </c>
      <c r="J3" s="9" t="n">
        <v>2</v>
      </c>
      <c r="K3" s="9" t="s">
        <v>267</v>
      </c>
      <c r="L3" s="11" t="s">
        <v>34</v>
      </c>
      <c r="M3" s="18" t="s">
        <v>21</v>
      </c>
      <c r="N3" s="18" t="s">
        <v>21</v>
      </c>
      <c r="O3" s="8" t="n">
        <v>45997</v>
      </c>
      <c r="P3" s="9" t="s">
        <v>268</v>
      </c>
    </row>
    <row r="4" customFormat="false" ht="19.5" hidden="false" customHeight="true" outlineLevel="0" collapsed="false">
      <c r="A4" s="9" t="s">
        <v>113</v>
      </c>
      <c r="B4" s="9" t="s">
        <v>55</v>
      </c>
      <c r="C4" s="10" t="s">
        <v>56</v>
      </c>
      <c r="D4" s="17" t="n">
        <v>0.7</v>
      </c>
      <c r="E4" s="9" t="s">
        <v>35</v>
      </c>
      <c r="F4" s="9" t="s">
        <v>269</v>
      </c>
      <c r="G4" s="10" t="s">
        <v>46</v>
      </c>
      <c r="H4" s="10" t="s">
        <v>46</v>
      </c>
      <c r="I4" s="11" t="s">
        <v>33</v>
      </c>
      <c r="J4" s="9" t="n">
        <v>5</v>
      </c>
      <c r="K4" s="9" t="s">
        <v>270</v>
      </c>
      <c r="L4" s="10" t="s">
        <v>47</v>
      </c>
      <c r="M4" s="11" t="s">
        <v>34</v>
      </c>
      <c r="N4" s="18" t="s">
        <v>21</v>
      </c>
      <c r="O4" s="8" t="n">
        <v>45931</v>
      </c>
      <c r="P4" s="9" t="s">
        <v>271</v>
      </c>
    </row>
    <row r="5" customFormat="false" ht="19.5" hidden="false" customHeight="true" outlineLevel="0" collapsed="false">
      <c r="A5" s="9" t="s">
        <v>134</v>
      </c>
      <c r="B5" s="9" t="s">
        <v>16</v>
      </c>
      <c r="C5" s="19" t="s">
        <v>43</v>
      </c>
      <c r="D5" s="17" t="n">
        <v>0.6</v>
      </c>
      <c r="E5" s="9" t="s">
        <v>74</v>
      </c>
      <c r="F5" s="9" t="s">
        <v>272</v>
      </c>
      <c r="G5" s="10" t="s">
        <v>46</v>
      </c>
      <c r="H5" s="10" t="s">
        <v>46</v>
      </c>
      <c r="I5" s="18" t="s">
        <v>20</v>
      </c>
      <c r="J5" s="9" t="n">
        <v>4</v>
      </c>
      <c r="K5" s="9" t="s">
        <v>273</v>
      </c>
      <c r="L5" s="11" t="s">
        <v>34</v>
      </c>
      <c r="M5" s="11" t="s">
        <v>34</v>
      </c>
      <c r="N5" s="18" t="s">
        <v>21</v>
      </c>
      <c r="O5" s="8" t="n">
        <v>45748</v>
      </c>
      <c r="P5" s="9" t="s">
        <v>274</v>
      </c>
    </row>
    <row r="6" customFormat="false" ht="19.5" hidden="false" customHeight="true" outlineLevel="0" collapsed="false">
      <c r="A6" s="9" t="s">
        <v>154</v>
      </c>
      <c r="B6" s="9" t="s">
        <v>42</v>
      </c>
      <c r="C6" s="18" t="s">
        <v>17</v>
      </c>
      <c r="D6" s="17" t="n">
        <v>0.1</v>
      </c>
      <c r="E6" s="9" t="s">
        <v>76</v>
      </c>
      <c r="F6" s="9" t="s">
        <v>275</v>
      </c>
      <c r="G6" s="11" t="s">
        <v>33</v>
      </c>
      <c r="H6" s="18" t="s">
        <v>20</v>
      </c>
      <c r="I6" s="18" t="s">
        <v>20</v>
      </c>
      <c r="J6" s="9" t="n">
        <v>0</v>
      </c>
      <c r="K6" s="9" t="s">
        <v>276</v>
      </c>
      <c r="L6" s="18" t="s">
        <v>21</v>
      </c>
      <c r="M6" s="18" t="s">
        <v>21</v>
      </c>
      <c r="N6" s="18" t="s">
        <v>21</v>
      </c>
      <c r="O6" s="8" t="n">
        <v>46060</v>
      </c>
      <c r="P6" s="9" t="s">
        <v>277</v>
      </c>
    </row>
    <row r="7" customFormat="false" ht="19.5" hidden="false" customHeight="true" outlineLevel="0" collapsed="false">
      <c r="A7" s="9" t="s">
        <v>167</v>
      </c>
      <c r="B7" s="9" t="s">
        <v>55</v>
      </c>
      <c r="C7" s="10" t="s">
        <v>67</v>
      </c>
      <c r="D7" s="17" t="n">
        <v>0.88</v>
      </c>
      <c r="E7" s="9" t="s">
        <v>60</v>
      </c>
      <c r="F7" s="9" t="s">
        <v>278</v>
      </c>
      <c r="G7" s="10" t="s">
        <v>46</v>
      </c>
      <c r="H7" s="10" t="s">
        <v>46</v>
      </c>
      <c r="I7" s="10" t="s">
        <v>46</v>
      </c>
      <c r="J7" s="9" t="n">
        <v>8</v>
      </c>
      <c r="K7" s="9" t="s">
        <v>279</v>
      </c>
      <c r="L7" s="10" t="s">
        <v>47</v>
      </c>
      <c r="M7" s="10" t="s">
        <v>47</v>
      </c>
      <c r="N7" s="11" t="s">
        <v>34</v>
      </c>
      <c r="O7" s="8" t="n">
        <v>45966</v>
      </c>
      <c r="P7" s="9" t="s">
        <v>280</v>
      </c>
    </row>
  </sheetData>
  <mergeCells count="1">
    <mergeCell ref="A1:N1"/>
  </mergeCells>
  <dataValidations count="9">
    <dataValidation allowBlank="true" error="Selecione uma opção da lista." errorStyle="stop" errorTitle="Valor inválido" operator="between" showDropDown="false" showErrorMessage="true" showInputMessage="false" sqref="A3:A100" type="list">
      <formula1>Alunos!$B$3:$B$7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C3:C100" type="list">
      <formula1>Listas!$B$5:$B$20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E3:E100" type="list">
      <formula1>Listas!$G$5:$G$20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G3:G100" type="list">
      <formula1>Listas!$E$5:$E$20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H3:H100" type="list">
      <formula1>Listas!$E$5:$E$20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I3:I100" type="list">
      <formula1>Listas!$E$5:$E$20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L3:L100" type="list">
      <formula1>Listas!$F$5:$F$20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M3:M100" type="list">
      <formula1>Listas!$F$5:$F$20</formula1>
      <formula2>0</formula2>
    </dataValidation>
    <dataValidation allowBlank="true" error="Selecione uma opção da lista." errorStyle="stop" errorTitle="Valor inválido" operator="between" showDropDown="false" showErrorMessage="true" showInputMessage="false" sqref="N3:N100" type="list">
      <formula1>Listas!$F$5:$F$20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39.75" hidden="false" customHeight="true" outlineLevel="0" collapsed="false">
      <c r="A1" s="20" t="s">
        <v>281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8" hidden="false" customHeight="true" outlineLevel="0" collapsed="false">
      <c r="A2" s="21" t="s">
        <v>282</v>
      </c>
      <c r="B2" s="21"/>
      <c r="C2" s="21"/>
      <c r="D2" s="21"/>
      <c r="E2" s="21"/>
      <c r="F2" s="21"/>
      <c r="G2" s="21"/>
      <c r="H2" s="21"/>
      <c r="I2" s="21"/>
      <c r="J2" s="21"/>
    </row>
    <row r="4" customFormat="false" ht="18" hidden="false" customHeight="true" outlineLevel="0" collapsed="false">
      <c r="A4" s="22" t="s">
        <v>283</v>
      </c>
      <c r="B4" s="22"/>
      <c r="C4" s="23" t="s">
        <v>284</v>
      </c>
      <c r="D4" s="23"/>
      <c r="E4" s="24" t="s">
        <v>285</v>
      </c>
      <c r="F4" s="24"/>
      <c r="G4" s="23" t="s">
        <v>286</v>
      </c>
      <c r="H4" s="23"/>
      <c r="I4" s="24" t="s">
        <v>287</v>
      </c>
      <c r="J4" s="24"/>
    </row>
    <row r="5" customFormat="false" ht="36" hidden="false" customHeight="true" outlineLevel="0" collapsed="false">
      <c r="A5" s="25" t="n">
        <f aca="false">COUNTIF(Alunos!L3:L100,"Ativo")</f>
        <v>5</v>
      </c>
      <c r="B5" s="25"/>
      <c r="C5" s="26" t="n">
        <f aca="true">COUNTIFS('Diário de Aulas'!A3:A500,"&gt;="&amp;DATE(YEAR(TODAY()),MONTH(TODAY()),1),'Diário de Aulas'!A3:A500,"&lt;="&amp;EOMONTH(TODAY(),0),'Diário de Aulas'!C3:C500,"Presente")</f>
        <v>0</v>
      </c>
      <c r="D5" s="26"/>
      <c r="E5" s="27" t="n">
        <f aca="true">COUNTIFS('Diário de Aulas'!A3:A500,"&gt;="&amp;DATE(YEAR(TODAY()),MONTH(TODAY()),1),'Diário de Aulas'!A3:A500,"&lt;="&amp;EOMONTH(TODAY(),0),'Diário de Aulas'!C3:C500,"&lt;&gt;Presente",'Diário de Aulas'!C3:C500,"&lt;&gt;")</f>
        <v>0</v>
      </c>
      <c r="F5" s="27"/>
      <c r="G5" s="28" t="n">
        <f aca="true">SUMIFS(Financeiro!C3:C57,Financeiro!E3:E57,"Pago",Financeiro!A3:A57,TEXT(TODAY(),"mm/yyyy"))</f>
        <v>0</v>
      </c>
      <c r="H5" s="28"/>
      <c r="I5" s="29" t="n">
        <f aca="false">SUMIF(Financeiro!E3:E57,"Pendente",Financeiro!C3:C57)</f>
        <v>1210</v>
      </c>
      <c r="J5" s="29"/>
    </row>
    <row r="8" customFormat="false" ht="21.75" hidden="false" customHeight="true" outlineLevel="0" collapsed="false">
      <c r="A8" s="30" t="s">
        <v>288</v>
      </c>
      <c r="B8" s="30"/>
      <c r="C8" s="30"/>
      <c r="D8" s="30"/>
      <c r="E8" s="30"/>
      <c r="G8" s="31" t="s">
        <v>289</v>
      </c>
      <c r="H8" s="31"/>
      <c r="I8" s="31"/>
      <c r="J8" s="31"/>
    </row>
    <row r="9" customFormat="false" ht="21.75" hidden="false" customHeight="true" outlineLevel="0" collapsed="false">
      <c r="A9" s="32" t="s">
        <v>17</v>
      </c>
      <c r="B9" s="33" t="n">
        <f aca="false">COUNTIF(Progresso!C3:C100,"Iniciante")</f>
        <v>1</v>
      </c>
      <c r="C9" s="34" t="n">
        <f aca="false">IF(COUNTIF(Alunos!L:L,"Ativo")&gt;0,COUNTIF(Progresso!C3:C100,"Iniciante")/COUNTIF(Alunos!L:L,"Ativo"),0)</f>
        <v>0.2</v>
      </c>
      <c r="D9" s="34"/>
      <c r="E9" s="34"/>
      <c r="G9" s="35" t="s">
        <v>261</v>
      </c>
      <c r="H9" s="35"/>
      <c r="I9" s="36" t="n">
        <f aca="false">COUNTIF(Progresso!L3:L100,"Apto")</f>
        <v>2</v>
      </c>
      <c r="J9" s="37" t="s">
        <v>290</v>
      </c>
    </row>
    <row r="10" customFormat="false" ht="21.75" hidden="false" customHeight="true" outlineLevel="0" collapsed="false">
      <c r="A10" s="38" t="s">
        <v>30</v>
      </c>
      <c r="B10" s="39" t="n">
        <f aca="false">COUNTIF(Progresso!C3:C100,"Básico")</f>
        <v>1</v>
      </c>
      <c r="C10" s="40" t="n">
        <f aca="false">IF(COUNTIF(Alunos!L:L,"Ativo")&gt;0,COUNTIF(Progresso!C3:C100,"Básico")/COUNTIF(Alunos!L:L,"Ativo"),0)</f>
        <v>0.2</v>
      </c>
      <c r="D10" s="40"/>
      <c r="E10" s="40"/>
      <c r="G10" s="35" t="s">
        <v>262</v>
      </c>
      <c r="H10" s="35"/>
      <c r="I10" s="36" t="n">
        <f aca="false">COUNTIF(Progresso!M3:M100,"Apto")</f>
        <v>1</v>
      </c>
      <c r="J10" s="37" t="s">
        <v>290</v>
      </c>
    </row>
    <row r="11" customFormat="false" ht="21.75" hidden="false" customHeight="true" outlineLevel="0" collapsed="false">
      <c r="A11" s="32" t="s">
        <v>43</v>
      </c>
      <c r="B11" s="33" t="n">
        <f aca="false">COUNTIF(Progresso!C3:C100,"Intermediário")</f>
        <v>1</v>
      </c>
      <c r="C11" s="34" t="n">
        <f aca="false">IF(COUNTIF(Alunos!L:L,"Ativo")&gt;0,COUNTIF(Progresso!C3:C100,"Intermediário")/COUNTIF(Alunos!L:L,"Ativo"),0)</f>
        <v>0.2</v>
      </c>
      <c r="D11" s="34"/>
      <c r="E11" s="34"/>
      <c r="G11" s="35" t="s">
        <v>263</v>
      </c>
      <c r="H11" s="35"/>
      <c r="I11" s="36" t="n">
        <f aca="false">COUNTIF(Progresso!N3:N100,"Apto")</f>
        <v>0</v>
      </c>
      <c r="J11" s="37" t="s">
        <v>290</v>
      </c>
    </row>
    <row r="12" customFormat="false" ht="19.5" hidden="false" customHeight="true" outlineLevel="0" collapsed="false">
      <c r="A12" s="38" t="s">
        <v>291</v>
      </c>
      <c r="B12" s="39" t="n">
        <f aca="false">COUNTIF(Progresso!C3:C100,"Apto — Culto Jovens")</f>
        <v>1</v>
      </c>
      <c r="C12" s="40" t="n">
        <f aca="false">IF(COUNTIF(Alunos!L:L,"Ativo")&gt;0,COUNTIF(Progresso!C3:C100,"Apto — Culto Jovens")/COUNTIF(Alunos!L:L,"Ativo"),0)</f>
        <v>0.2</v>
      </c>
      <c r="D12" s="40"/>
      <c r="E12" s="40"/>
    </row>
    <row r="13" customFormat="false" ht="19.5" hidden="false" customHeight="true" outlineLevel="0" collapsed="false">
      <c r="A13" s="32" t="s">
        <v>292</v>
      </c>
      <c r="B13" s="33" t="n">
        <f aca="false">COUNTIF(Progresso!C3:C100,"Apto — Culto Adulto")</f>
        <v>1</v>
      </c>
      <c r="C13" s="34" t="n">
        <f aca="false">IF(COUNTIF(Alunos!L:L,"Ativo")&gt;0,COUNTIF(Progresso!C3:C100,"Apto — Culto Adulto")/COUNTIF(Alunos!L:L,"Ativo"),0)</f>
        <v>0.2</v>
      </c>
      <c r="D13" s="34"/>
      <c r="E13" s="34"/>
    </row>
    <row r="14" customFormat="false" ht="19.5" hidden="false" customHeight="true" outlineLevel="0" collapsed="false">
      <c r="A14" s="38" t="s">
        <v>73</v>
      </c>
      <c r="B14" s="39" t="n">
        <f aca="false">COUNTIF(Progresso!C3:C100,"Oficializado")</f>
        <v>0</v>
      </c>
      <c r="C14" s="40" t="n">
        <f aca="false">IF(COUNTIF(Alunos!L:L,"Ativo")&gt;0,COUNTIF(Progresso!C3:C100,"Oficializado")/COUNTIF(Alunos!L:L,"Ativo"),0)</f>
        <v>0</v>
      </c>
      <c r="D14" s="40"/>
      <c r="E14" s="40"/>
    </row>
    <row r="16" customFormat="false" ht="21.75" hidden="false" customHeight="true" outlineLevel="0" collapsed="false">
      <c r="A16" s="41" t="s">
        <v>293</v>
      </c>
      <c r="B16" s="41"/>
      <c r="C16" s="41"/>
      <c r="D16" s="41"/>
      <c r="E16" s="41"/>
      <c r="F16" s="41"/>
      <c r="G16" s="41"/>
      <c r="H16" s="41"/>
      <c r="I16" s="41"/>
      <c r="J16" s="41"/>
    </row>
    <row r="17" customFormat="false" ht="19.5" hidden="false" customHeight="true" outlineLevel="0" collapsed="false">
      <c r="A17" s="3" t="s">
        <v>82</v>
      </c>
      <c r="B17" s="3" t="s">
        <v>294</v>
      </c>
      <c r="C17" s="3" t="s">
        <v>295</v>
      </c>
      <c r="D17" s="3" t="s">
        <v>296</v>
      </c>
      <c r="E17" s="3" t="s">
        <v>297</v>
      </c>
      <c r="F17" s="3" t="s">
        <v>200</v>
      </c>
    </row>
    <row r="18" customFormat="false" ht="19.5" hidden="false" customHeight="true" outlineLevel="0" collapsed="false">
      <c r="A18" s="38" t="s">
        <v>93</v>
      </c>
      <c r="B18" s="42" t="n">
        <f aca="false">C18+D18</f>
        <v>0</v>
      </c>
      <c r="C18" s="42" t="n">
        <f aca="true">COUNTIFS('Diário de Aulas'!B3:B500,"Ana Beatriz Ferreira",'Diário de Aulas'!A3:A500,"&gt;="&amp;TODAY()-28,'Diário de Aulas'!C3:C500,"Presente")</f>
        <v>0</v>
      </c>
      <c r="D18" s="42" t="n">
        <f aca="true">COUNTIFS('Diário de Aulas'!B3:B500,"Ana Beatriz Ferreira",'Diário de Aulas'!A3:A500,"&gt;="&amp;TODAY()-28,'Diário de Aulas'!C3:C500,"&lt;&gt;Presente",'Diário de Aulas'!C3:C500,"&lt;&gt;")</f>
        <v>0</v>
      </c>
      <c r="E18" s="43" t="n">
        <f aca="false">IF(B18&gt;0,C18/B18,0)</f>
        <v>0</v>
      </c>
      <c r="F18" s="42" t="str">
        <f aca="false">IF(E18&gt;=0.8,"Regular",IF(E18&gt;=0.5,"Atenção","Irregular"))</f>
        <v>Irregular</v>
      </c>
    </row>
    <row r="19" customFormat="false" ht="19.5" hidden="false" customHeight="true" outlineLevel="0" collapsed="false">
      <c r="A19" s="44" t="s">
        <v>113</v>
      </c>
      <c r="B19" s="45" t="n">
        <f aca="false">C19+D19</f>
        <v>0</v>
      </c>
      <c r="C19" s="45" t="n">
        <f aca="true">COUNTIFS('Diário de Aulas'!B3:B500,"Lucas Mendes Oliveira",'Diário de Aulas'!A3:A500,"&gt;="&amp;TODAY()-28,'Diário de Aulas'!C3:C500,"Presente")</f>
        <v>0</v>
      </c>
      <c r="D19" s="45" t="n">
        <f aca="true">COUNTIFS('Diário de Aulas'!B3:B500,"Lucas Mendes Oliveira",'Diário de Aulas'!A3:A500,"&gt;="&amp;TODAY()-28,'Diário de Aulas'!C3:C500,"&lt;&gt;Presente",'Diário de Aulas'!C3:C500,"&lt;&gt;")</f>
        <v>0</v>
      </c>
      <c r="E19" s="46" t="n">
        <f aca="false">IF(B19&gt;0,C19/B19,0)</f>
        <v>0</v>
      </c>
      <c r="F19" s="45" t="str">
        <f aca="false">IF(E19&gt;=0.8,"Regular",IF(E19&gt;=0.5,"Atenção","Irregular"))</f>
        <v>Irregular</v>
      </c>
    </row>
    <row r="20" customFormat="false" ht="19.5" hidden="false" customHeight="true" outlineLevel="0" collapsed="false">
      <c r="A20" s="38" t="s">
        <v>134</v>
      </c>
      <c r="B20" s="42" t="n">
        <f aca="false">C20+D20</f>
        <v>0</v>
      </c>
      <c r="C20" s="42" t="n">
        <f aca="true">COUNTIFS('Diário de Aulas'!B3:B500,"Fernanda Costa",'Diário de Aulas'!A3:A500,"&gt;="&amp;TODAY()-28,'Diário de Aulas'!C3:C500,"Presente")</f>
        <v>0</v>
      </c>
      <c r="D20" s="42" t="n">
        <f aca="true">COUNTIFS('Diário de Aulas'!B3:B500,"Fernanda Costa",'Diário de Aulas'!A3:A500,"&gt;="&amp;TODAY()-28,'Diário de Aulas'!C3:C500,"&lt;&gt;Presente",'Diário de Aulas'!C3:C500,"&lt;&gt;")</f>
        <v>0</v>
      </c>
      <c r="E20" s="43" t="n">
        <f aca="false">IF(B20&gt;0,C20/B20,0)</f>
        <v>0</v>
      </c>
      <c r="F20" s="42" t="str">
        <f aca="false">IF(E20&gt;=0.8,"Regular",IF(E20&gt;=0.5,"Atenção","Irregular"))</f>
        <v>Irregular</v>
      </c>
    </row>
    <row r="21" customFormat="false" ht="19.5" hidden="false" customHeight="true" outlineLevel="0" collapsed="false">
      <c r="A21" s="44" t="s">
        <v>154</v>
      </c>
      <c r="B21" s="45" t="n">
        <f aca="false">C21+D21</f>
        <v>0</v>
      </c>
      <c r="C21" s="45" t="n">
        <f aca="true">COUNTIFS('Diário de Aulas'!B3:B500,"Isabela Rocha Santos",'Diário de Aulas'!A3:A500,"&gt;="&amp;TODAY()-28,'Diário de Aulas'!C3:C500,"Presente")</f>
        <v>0</v>
      </c>
      <c r="D21" s="45" t="n">
        <f aca="true">COUNTIFS('Diário de Aulas'!B3:B500,"Isabela Rocha Santos",'Diário de Aulas'!A3:A500,"&gt;="&amp;TODAY()-28,'Diário de Aulas'!C3:C500,"&lt;&gt;Presente",'Diário de Aulas'!C3:C500,"&lt;&gt;")</f>
        <v>0</v>
      </c>
      <c r="E21" s="46" t="n">
        <f aca="false">IF(B21&gt;0,C21/B21,0)</f>
        <v>0</v>
      </c>
      <c r="F21" s="45" t="str">
        <f aca="false">IF(E21&gt;=0.8,"Regular",IF(E21&gt;=0.5,"Atenção","Irregular"))</f>
        <v>Irregular</v>
      </c>
    </row>
    <row r="22" customFormat="false" ht="19.5" hidden="false" customHeight="true" outlineLevel="0" collapsed="false">
      <c r="A22" s="38" t="s">
        <v>167</v>
      </c>
      <c r="B22" s="42" t="n">
        <f aca="false">C22+D22</f>
        <v>0</v>
      </c>
      <c r="C22" s="42" t="n">
        <f aca="true">COUNTIFS('Diário de Aulas'!B3:B500,"Rafael Almeida",'Diário de Aulas'!A3:A500,"&gt;="&amp;TODAY()-28,'Diário de Aulas'!C3:C500,"Presente")</f>
        <v>0</v>
      </c>
      <c r="D22" s="42" t="n">
        <f aca="true">COUNTIFS('Diário de Aulas'!B3:B500,"Rafael Almeida",'Diário de Aulas'!A3:A500,"&gt;="&amp;TODAY()-28,'Diário de Aulas'!C3:C500,"&lt;&gt;Presente",'Diário de Aulas'!C3:C500,"&lt;&gt;")</f>
        <v>0</v>
      </c>
      <c r="E22" s="43" t="n">
        <f aca="false">IF(B22&gt;0,C22/B22,0)</f>
        <v>0</v>
      </c>
      <c r="F22" s="42" t="str">
        <f aca="false">IF(E22&gt;=0.8,"Regular",IF(E22&gt;=0.5,"Atenção","Irregular"))</f>
        <v>Irregular</v>
      </c>
    </row>
  </sheetData>
  <mergeCells count="24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8:E8"/>
    <mergeCell ref="G8:J8"/>
    <mergeCell ref="C9:E9"/>
    <mergeCell ref="G9:H9"/>
    <mergeCell ref="C10:E10"/>
    <mergeCell ref="G10:H10"/>
    <mergeCell ref="C11:E11"/>
    <mergeCell ref="G11:H11"/>
    <mergeCell ref="C12:E12"/>
    <mergeCell ref="C13:E13"/>
    <mergeCell ref="C14:E1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2026-05-23T11:58:07Z</dcterms:created>
  <dc:creator>openpyxl</dc:creator>
  <dc:description/>
  <dc:language>en-US</dc:language>
  <cp:lastModifiedBy/>
  <dcterms:modified xsi:type="dcterms:W3CDTF">2026-05-23T11:58:07Z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